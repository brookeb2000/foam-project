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13309\Desktop\"/>
    </mc:Choice>
  </mc:AlternateContent>
  <xr:revisionPtr revIDLastSave="0" documentId="8_{4430EEFB-8778-4802-8CF1-6909DF0638E4}" xr6:coauthVersionLast="47" xr6:coauthVersionMax="47" xr10:uidLastSave="{00000000-0000-0000-0000-000000000000}"/>
  <bookViews>
    <workbookView xWindow="1860" yWindow="1860" windowWidth="15375" windowHeight="7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O29" i="1"/>
  <c r="G29" i="1"/>
  <c r="G28" i="1"/>
  <c r="O26" i="1"/>
  <c r="O25" i="1"/>
  <c r="O24" i="1"/>
  <c r="N24" i="1"/>
  <c r="I24" i="1"/>
  <c r="O23" i="1"/>
  <c r="N23" i="1"/>
  <c r="I23" i="1"/>
  <c r="O22" i="1"/>
  <c r="N22" i="1"/>
  <c r="J22" i="1"/>
  <c r="I22" i="1"/>
  <c r="O21" i="1"/>
  <c r="N21" i="1"/>
  <c r="J21" i="1"/>
  <c r="I21" i="1"/>
  <c r="O20" i="1"/>
  <c r="N20" i="1"/>
  <c r="J20" i="1"/>
  <c r="I20" i="1"/>
  <c r="O19" i="1"/>
  <c r="N19" i="1"/>
  <c r="J19" i="1"/>
  <c r="I19" i="1"/>
  <c r="O18" i="1"/>
  <c r="N18" i="1"/>
  <c r="J18" i="1"/>
  <c r="I18" i="1"/>
  <c r="O17" i="1"/>
  <c r="N17" i="1"/>
  <c r="J17" i="1"/>
  <c r="I17" i="1"/>
  <c r="O16" i="1"/>
  <c r="N16" i="1"/>
  <c r="J16" i="1"/>
  <c r="I16" i="1"/>
  <c r="O15" i="1"/>
  <c r="N15" i="1"/>
  <c r="J15" i="1"/>
  <c r="I15" i="1"/>
  <c r="O14" i="1"/>
  <c r="N14" i="1"/>
  <c r="J14" i="1"/>
  <c r="I14" i="1"/>
  <c r="O13" i="1"/>
  <c r="N13" i="1"/>
  <c r="J13" i="1"/>
  <c r="I13" i="1"/>
  <c r="O12" i="1"/>
  <c r="N12" i="1"/>
  <c r="J12" i="1"/>
  <c r="I12" i="1"/>
  <c r="O11" i="1"/>
  <c r="N11" i="1"/>
  <c r="J11" i="1"/>
  <c r="I11" i="1"/>
  <c r="O10" i="1"/>
  <c r="N10" i="1"/>
  <c r="J10" i="1"/>
  <c r="I10" i="1"/>
  <c r="O9" i="1"/>
  <c r="N9" i="1"/>
  <c r="I9" i="1"/>
  <c r="O8" i="1"/>
  <c r="N8" i="1"/>
  <c r="I8" i="1"/>
  <c r="O7" i="1"/>
  <c r="N7" i="1"/>
  <c r="O6" i="1"/>
  <c r="N6" i="1"/>
  <c r="O5" i="1"/>
  <c r="N5" i="1"/>
  <c r="G5" i="1"/>
  <c r="O4" i="1"/>
  <c r="N4" i="1"/>
  <c r="G4" i="1"/>
  <c r="O3" i="1"/>
  <c r="N3" i="1"/>
  <c r="O2" i="1"/>
  <c r="N2" i="1"/>
  <c r="I2" i="1"/>
</calcChain>
</file>

<file path=xl/sharedStrings.xml><?xml version="1.0" encoding="utf-8"?>
<sst xmlns="http://schemas.openxmlformats.org/spreadsheetml/2006/main" count="47" uniqueCount="46">
  <si>
    <t>TEM</t>
  </si>
  <si>
    <t>Joncryl</t>
  </si>
  <si>
    <t>NC513</t>
  </si>
  <si>
    <t>PEG-DE</t>
  </si>
  <si>
    <t>NGDE</t>
  </si>
  <si>
    <t>24h_retention_1</t>
  </si>
  <si>
    <t>24h_retention_2</t>
  </si>
  <si>
    <t>24h_retention_3</t>
  </si>
  <si>
    <t>24h_avg_pct_retention</t>
  </si>
  <si>
    <t>24h_se_retention</t>
  </si>
  <si>
    <t>Density 1</t>
  </si>
  <si>
    <t>Density 2</t>
  </si>
  <si>
    <t>Density 3</t>
  </si>
  <si>
    <t>Avg_Density_g_cm3</t>
  </si>
  <si>
    <t>Avg_Density SE</t>
  </si>
  <si>
    <t>24h_avg_pct absorption</t>
  </si>
  <si>
    <t>24h_se_absorption</t>
  </si>
  <si>
    <t>1h_avg_pct_retention</t>
  </si>
  <si>
    <t>1h_se</t>
  </si>
  <si>
    <t>2h_avg_pct_retention</t>
  </si>
  <si>
    <t>2h_se</t>
  </si>
  <si>
    <t>4h_avg_pct_retention</t>
  </si>
  <si>
    <t>4h_se</t>
  </si>
  <si>
    <t>8h_avg_pct_retention</t>
  </si>
  <si>
    <t>8h_se</t>
  </si>
  <si>
    <t>48h_avg_pct_retention</t>
  </si>
  <si>
    <t>48h_se</t>
  </si>
  <si>
    <t>Dry Strength Mean</t>
  </si>
  <si>
    <t>Dry Strength SE</t>
  </si>
  <si>
    <t>Dry Resilience mean %</t>
  </si>
  <si>
    <t>Dry Resilience SE</t>
  </si>
  <si>
    <t>Wet Strength Mean</t>
  </si>
  <si>
    <t>Wet Strength SE</t>
  </si>
  <si>
    <t>Wet Resilience mean %</t>
  </si>
  <si>
    <t>Wet Resilience SE</t>
  </si>
  <si>
    <t>6h_avg_pct absorption</t>
  </si>
  <si>
    <t>6h_se</t>
  </si>
  <si>
    <t>12h_avg_pct absorption</t>
  </si>
  <si>
    <t>12h_se</t>
  </si>
  <si>
    <t>48h_avg_pct absorption</t>
  </si>
  <si>
    <t>72h_avg_pct absorption</t>
  </si>
  <si>
    <t>72h_se</t>
  </si>
  <si>
    <t>96h_avg_pct absorption</t>
  </si>
  <si>
    <t>96h_se</t>
  </si>
  <si>
    <t>144h_sat_avg_pct absorption</t>
  </si>
  <si>
    <t>144h_sat_se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</si>
</sst>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2" fillId="5" borderId="0" xfId="0" applyNumberFormat="1" applyFont="1" applyFill="1"/>
    <xf numFmtId="164" fontId="2" fillId="0" borderId="0" xfId="0" applyNumberFormat="1" applyFont="1"/>
    <xf numFmtId="0" fontId="2" fillId="6" borderId="0" xfId="0" applyFont="1" applyFill="1"/>
    <xf numFmtId="2" fontId="2" fillId="0" borderId="0" xfId="0" applyNumberFormat="1" applyFont="1"/>
    <xf numFmtId="2" fontId="2" fillId="2" borderId="0" xfId="0" applyNumberFormat="1" applyFont="1" applyFill="1"/>
    <xf numFmtId="0" fontId="2" fillId="5" borderId="0" xfId="0" applyFont="1" applyFill="1"/>
    <xf numFmtId="2" fontId="2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1000"/>
  <sheetViews>
    <sheetView tabSelected="1" workbookViewId="0"/>
  </sheetViews>
  <sheetFormatPr defaultColWidth="12.5703125" defaultRowHeight="15.75" customHeight="1" x14ac:dyDescent="0.2"/>
  <cols>
    <col min="1" max="5" width="7.140625" customWidth="1"/>
    <col min="6" max="6" width="15.85546875" customWidth="1"/>
    <col min="7" max="7" width="15.42578125" customWidth="1"/>
    <col min="8" max="8" width="16.140625" customWidth="1"/>
    <col min="9" max="10" width="20" customWidth="1"/>
    <col min="11" max="13" width="14.42578125" customWidth="1"/>
    <col min="14" max="15" width="21.42578125" customWidth="1"/>
    <col min="16" max="17" width="22.42578125" customWidth="1"/>
    <col min="18" max="18" width="9.28515625" customWidth="1"/>
    <col min="19" max="21" width="7.140625" customWidth="1"/>
    <col min="22" max="22" width="8.42578125" customWidth="1"/>
    <col min="23" max="27" width="7.140625" customWidth="1"/>
    <col min="28" max="28" width="15.7109375" customWidth="1"/>
    <col min="29" max="29" width="14.28515625" customWidth="1"/>
    <col min="30" max="30" width="17.42578125" customWidth="1"/>
    <col min="31" max="35" width="15.7109375" customWidth="1"/>
  </cols>
  <sheetData>
    <row r="1" spans="1: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26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/>
    </row>
    <row r="2" spans="1:48" x14ac:dyDescent="0.2">
      <c r="A2" s="6">
        <v>8</v>
      </c>
      <c r="F2" s="6">
        <v>28.9156626506024</v>
      </c>
      <c r="G2" s="6">
        <v>30.655391120507399</v>
      </c>
      <c r="H2" s="6">
        <v>28.392484342379969</v>
      </c>
      <c r="I2" s="7">
        <f>AVERAGE(F2:H2)</f>
        <v>29.321179371163257</v>
      </c>
      <c r="J2" s="6">
        <v>0.68389999999999995</v>
      </c>
      <c r="K2" s="8">
        <v>0.19500000000000001</v>
      </c>
      <c r="L2" s="8">
        <v>0.187</v>
      </c>
      <c r="M2" s="8">
        <v>0.19500000000000001</v>
      </c>
      <c r="N2" s="9">
        <f t="shared" ref="N2:N24" si="0">AVERAGE(K2:M2)</f>
        <v>0.19233333333333333</v>
      </c>
      <c r="O2" s="6">
        <f>STDEV(K2:M2)/SQRT(3)</f>
        <v>2.6666666666666692E-3</v>
      </c>
      <c r="P2" s="10">
        <v>113.61694273619059</v>
      </c>
      <c r="Q2" s="11">
        <v>5.2713750393888166</v>
      </c>
      <c r="R2" s="6">
        <v>88.55</v>
      </c>
      <c r="S2" s="6">
        <v>2</v>
      </c>
      <c r="T2" s="6">
        <v>81.3</v>
      </c>
      <c r="U2" s="6">
        <v>2.38</v>
      </c>
      <c r="V2" s="6">
        <v>65.849999999999994</v>
      </c>
      <c r="W2" s="6">
        <v>4.5</v>
      </c>
      <c r="X2" s="6">
        <v>52.66</v>
      </c>
      <c r="Y2" s="6">
        <v>3.85</v>
      </c>
      <c r="Z2" s="6">
        <v>18.579999999999998</v>
      </c>
      <c r="AA2" s="6">
        <v>2.16</v>
      </c>
      <c r="AB2" s="6">
        <v>53.674733041965183</v>
      </c>
      <c r="AC2" s="6">
        <v>1.008133169659043</v>
      </c>
      <c r="AD2" s="6">
        <v>53.479141777319747</v>
      </c>
      <c r="AE2" s="6">
        <v>0.40953976198894693</v>
      </c>
      <c r="AF2" s="6">
        <v>23.68</v>
      </c>
      <c r="AG2" s="6">
        <v>0.2</v>
      </c>
      <c r="AH2" s="6">
        <v>67.03</v>
      </c>
      <c r="AI2" s="6">
        <v>0.56999999999999995</v>
      </c>
      <c r="AJ2" s="11">
        <v>77.112391319714433</v>
      </c>
      <c r="AK2" s="11">
        <v>0.1672602340438917</v>
      </c>
      <c r="AL2" s="11">
        <v>89.4</v>
      </c>
      <c r="AM2" s="11">
        <v>5.8</v>
      </c>
      <c r="AN2" s="11">
        <v>133.96230845958701</v>
      </c>
      <c r="AO2" s="11">
        <v>7.105138914912204</v>
      </c>
      <c r="AP2" s="11">
        <v>168.3410695632368</v>
      </c>
      <c r="AQ2" s="11">
        <v>6.5020754735419324</v>
      </c>
      <c r="AR2" s="11">
        <v>185.8592084697973</v>
      </c>
      <c r="AS2" s="11">
        <v>5.3120563857026113</v>
      </c>
      <c r="AT2" s="11">
        <v>187.66483667522749</v>
      </c>
      <c r="AU2" s="11">
        <v>2.6013397953508841</v>
      </c>
    </row>
    <row r="3" spans="1:48" x14ac:dyDescent="0.2">
      <c r="A3" s="6">
        <v>8</v>
      </c>
      <c r="B3" s="6">
        <v>0.7</v>
      </c>
      <c r="I3" s="7">
        <v>33.119999999999997</v>
      </c>
      <c r="J3" s="12">
        <v>2.57</v>
      </c>
      <c r="K3" s="8">
        <v>0.18099999999999999</v>
      </c>
      <c r="L3" s="8"/>
      <c r="M3" s="8">
        <v>0.189</v>
      </c>
      <c r="N3" s="9">
        <f t="shared" si="0"/>
        <v>0.185</v>
      </c>
      <c r="O3" s="6">
        <f t="shared" ref="O3:O7" si="1">STDEV(K3:M3)/SQRT(2)</f>
        <v>4.0000000000000036E-3</v>
      </c>
      <c r="P3" s="10">
        <v>103.8173093768247</v>
      </c>
      <c r="Q3" s="11">
        <v>3.4967659932172919</v>
      </c>
      <c r="R3" s="6">
        <v>88.15</v>
      </c>
      <c r="S3" s="6">
        <v>1.48</v>
      </c>
      <c r="T3" s="6">
        <v>80.400000000000006</v>
      </c>
      <c r="U3" s="6">
        <v>1.6</v>
      </c>
      <c r="V3" s="6">
        <v>63.71</v>
      </c>
      <c r="W3" s="6">
        <v>2.84</v>
      </c>
      <c r="X3" s="6">
        <v>51.88</v>
      </c>
      <c r="Y3" s="6">
        <v>2.73</v>
      </c>
      <c r="Z3" s="6">
        <v>21.29</v>
      </c>
      <c r="AA3" s="6">
        <v>2.46</v>
      </c>
      <c r="AB3" s="6">
        <v>68.863716912933157</v>
      </c>
      <c r="AC3" s="6">
        <v>4.2431652599653704</v>
      </c>
      <c r="AD3" s="6">
        <v>52.410702351122318</v>
      </c>
      <c r="AE3" s="6">
        <v>0.25851075175790938</v>
      </c>
      <c r="AF3" s="6">
        <v>24.258480561217741</v>
      </c>
      <c r="AG3" s="6">
        <v>1.1870761675215931</v>
      </c>
      <c r="AH3" s="6">
        <v>68.07868554032801</v>
      </c>
      <c r="AI3" s="6">
        <v>1.505665685169286</v>
      </c>
      <c r="AJ3" s="11">
        <v>63.848215879577253</v>
      </c>
      <c r="AK3" s="11">
        <v>1.0150745133265999</v>
      </c>
      <c r="AL3" s="11">
        <v>77.099999999999994</v>
      </c>
      <c r="AM3" s="11">
        <v>8.1</v>
      </c>
      <c r="AN3" s="11">
        <v>125.29967788342699</v>
      </c>
      <c r="AO3" s="11">
        <v>2.2870777321591862</v>
      </c>
      <c r="AP3" s="11">
        <v>159.14516899905351</v>
      </c>
      <c r="AQ3" s="11">
        <v>4.5634095989347561</v>
      </c>
      <c r="AR3" s="11">
        <v>183.28462079353031</v>
      </c>
      <c r="AS3" s="11">
        <v>4.7859125020689701</v>
      </c>
      <c r="AT3" s="11">
        <v>173.19765448774709</v>
      </c>
      <c r="AU3" s="11">
        <v>2.147753250227566</v>
      </c>
    </row>
    <row r="4" spans="1:48" x14ac:dyDescent="0.2">
      <c r="A4" s="6">
        <v>8</v>
      </c>
      <c r="B4" s="6">
        <v>1</v>
      </c>
      <c r="F4" s="1"/>
      <c r="G4" s="6">
        <f>_xlfn.STDEV.S(F2:H2)/SQRT(3)</f>
        <v>0.68398821374216445</v>
      </c>
      <c r="I4" s="7">
        <v>36.25</v>
      </c>
      <c r="J4" s="12">
        <v>1.77</v>
      </c>
      <c r="K4" s="8"/>
      <c r="L4" s="8">
        <v>0.16300000000000001</v>
      </c>
      <c r="M4" s="8">
        <v>0.16500000000000001</v>
      </c>
      <c r="N4" s="9">
        <f t="shared" si="0"/>
        <v>0.16400000000000001</v>
      </c>
      <c r="O4" s="6">
        <f t="shared" si="1"/>
        <v>1.0000000000000009E-3</v>
      </c>
      <c r="P4" s="10">
        <v>129.46429204545021</v>
      </c>
      <c r="Q4" s="11">
        <v>5.4900855069715151</v>
      </c>
      <c r="R4" s="6">
        <v>88.19</v>
      </c>
      <c r="S4" s="6">
        <v>0.48</v>
      </c>
      <c r="T4" s="6">
        <v>79.34</v>
      </c>
      <c r="U4" s="6">
        <v>0.93</v>
      </c>
      <c r="V4" s="6">
        <v>68.959999999999994</v>
      </c>
      <c r="W4" s="6">
        <v>1.25</v>
      </c>
      <c r="X4" s="6">
        <v>56.31</v>
      </c>
      <c r="Y4" s="6">
        <v>1.45</v>
      </c>
      <c r="Z4" s="6">
        <v>23.6</v>
      </c>
      <c r="AA4" s="6">
        <v>1.97</v>
      </c>
      <c r="AB4" s="6">
        <v>50.405844691231891</v>
      </c>
      <c r="AC4" s="6">
        <v>2.550662320452894</v>
      </c>
      <c r="AD4" s="6">
        <v>53.951126635649253</v>
      </c>
      <c r="AE4" s="6">
        <v>0.64971541513024178</v>
      </c>
      <c r="AF4" s="6">
        <v>21.329450057032851</v>
      </c>
      <c r="AG4" s="6">
        <v>1.916880719941594</v>
      </c>
      <c r="AH4" s="6">
        <v>68.599951687680559</v>
      </c>
      <c r="AI4" s="6">
        <v>0.30989325825123598</v>
      </c>
      <c r="AJ4" s="11">
        <v>81.386033733617538</v>
      </c>
      <c r="AK4" s="11">
        <v>6.2460546937741164</v>
      </c>
      <c r="AL4" s="11">
        <v>97</v>
      </c>
      <c r="AM4" s="11">
        <v>10.4</v>
      </c>
      <c r="AN4" s="11">
        <v>154.9908250096513</v>
      </c>
      <c r="AO4" s="11">
        <v>1.245419156401135</v>
      </c>
      <c r="AP4" s="11">
        <v>193.46776434931121</v>
      </c>
      <c r="AQ4" s="11">
        <v>1.372421621550906</v>
      </c>
      <c r="AR4" s="11">
        <v>208.4567723813864</v>
      </c>
      <c r="AS4" s="11">
        <v>2.247584070210912</v>
      </c>
      <c r="AT4" s="11">
        <v>208.86961495803331</v>
      </c>
      <c r="AU4" s="11">
        <v>5.1702348404709344</v>
      </c>
    </row>
    <row r="5" spans="1:48" x14ac:dyDescent="0.2">
      <c r="A5" s="6">
        <v>8</v>
      </c>
      <c r="B5" s="6">
        <v>1.5</v>
      </c>
      <c r="G5" s="6">
        <f>STDEV(F2:H2)</f>
        <v>1.1847023379797097</v>
      </c>
      <c r="I5" s="7">
        <v>25.33</v>
      </c>
      <c r="J5" s="6">
        <v>0.38</v>
      </c>
      <c r="K5" s="8">
        <v>0.16600000000000001</v>
      </c>
      <c r="L5" s="8">
        <v>0.161</v>
      </c>
      <c r="M5" s="8"/>
      <c r="N5" s="9">
        <f t="shared" si="0"/>
        <v>0.16350000000000001</v>
      </c>
      <c r="O5" s="6">
        <f t="shared" si="1"/>
        <v>2.5000000000000022E-3</v>
      </c>
      <c r="P5" s="10">
        <v>120.749404657604</v>
      </c>
      <c r="Q5" s="11">
        <v>2.66051884559691</v>
      </c>
      <c r="R5" s="6">
        <v>83.18</v>
      </c>
      <c r="S5" s="6">
        <v>1.1299999999999999</v>
      </c>
      <c r="T5" s="6">
        <v>71.05</v>
      </c>
      <c r="U5" s="6">
        <v>1.86</v>
      </c>
      <c r="V5" s="6">
        <v>57.81</v>
      </c>
      <c r="W5" s="6">
        <v>1.27</v>
      </c>
      <c r="X5" s="6">
        <v>45.25</v>
      </c>
      <c r="Y5" s="6">
        <v>0.93</v>
      </c>
      <c r="Z5" s="6">
        <v>12.77</v>
      </c>
      <c r="AA5" s="6">
        <v>0.04</v>
      </c>
      <c r="AB5" s="6">
        <v>54.717605493733743</v>
      </c>
      <c r="AC5" s="6">
        <v>0.56677568344197404</v>
      </c>
      <c r="AD5" s="6">
        <v>53.242328431695462</v>
      </c>
      <c r="AE5" s="6">
        <v>4.2952668250463517E-2</v>
      </c>
      <c r="AF5" s="6">
        <v>20.183592070530079</v>
      </c>
      <c r="AG5" s="6">
        <v>0.27663949745070909</v>
      </c>
      <c r="AH5" s="6">
        <v>72.057277033363178</v>
      </c>
      <c r="AI5" s="6">
        <v>0.60255362612003482</v>
      </c>
      <c r="AJ5" s="11">
        <v>86.054380253135903</v>
      </c>
      <c r="AK5" s="11">
        <v>3.053212916361236</v>
      </c>
      <c r="AL5" s="11">
        <v>97.6</v>
      </c>
      <c r="AM5" s="11">
        <v>6.8</v>
      </c>
      <c r="AN5" s="11">
        <v>131.62546643142781</v>
      </c>
      <c r="AO5" s="11">
        <v>4.0171476642459094</v>
      </c>
      <c r="AP5" s="11">
        <v>162.66241221458461</v>
      </c>
      <c r="AQ5" s="11">
        <v>6.67390082545365</v>
      </c>
      <c r="AR5" s="11">
        <v>175.58395052315669</v>
      </c>
      <c r="AS5" s="11">
        <v>1.9390599264023169</v>
      </c>
      <c r="AT5" s="11">
        <v>186.1278366543653</v>
      </c>
      <c r="AU5" s="11">
        <v>8.8196288325026018</v>
      </c>
    </row>
    <row r="6" spans="1:48" x14ac:dyDescent="0.2">
      <c r="A6" s="6">
        <v>8</v>
      </c>
      <c r="B6" s="6">
        <v>2</v>
      </c>
      <c r="I6" s="7">
        <v>26.58</v>
      </c>
      <c r="J6" s="6">
        <v>0.99</v>
      </c>
      <c r="K6" s="8"/>
      <c r="L6" s="8">
        <v>0.19500000000000001</v>
      </c>
      <c r="M6" s="8">
        <v>0.186</v>
      </c>
      <c r="N6" s="9">
        <f t="shared" si="0"/>
        <v>0.1905</v>
      </c>
      <c r="O6" s="6">
        <f t="shared" si="1"/>
        <v>4.5000000000000031E-3</v>
      </c>
      <c r="P6" s="10">
        <v>113.8715809178626</v>
      </c>
      <c r="Q6" s="11">
        <v>2.071998082951354</v>
      </c>
      <c r="R6" s="6">
        <v>83.82</v>
      </c>
      <c r="S6" s="6">
        <v>1.08</v>
      </c>
      <c r="T6" s="6">
        <v>70.849999999999994</v>
      </c>
      <c r="U6" s="6">
        <v>2.57</v>
      </c>
      <c r="V6" s="6">
        <v>56.25</v>
      </c>
      <c r="W6" s="6">
        <v>1.23</v>
      </c>
      <c r="X6" s="6">
        <v>44.77</v>
      </c>
      <c r="Y6" s="6">
        <v>1.1399999999999999</v>
      </c>
      <c r="Z6" s="6">
        <v>15.1</v>
      </c>
      <c r="AA6" s="6">
        <v>0.9</v>
      </c>
      <c r="AB6" s="6">
        <v>85.78778524722911</v>
      </c>
      <c r="AC6" s="6">
        <v>6.7816531328987901</v>
      </c>
      <c r="AD6" s="6">
        <v>53.417505282416023</v>
      </c>
      <c r="AE6" s="6">
        <v>0.64113322126827443</v>
      </c>
      <c r="AF6" s="6">
        <v>27.58535713922851</v>
      </c>
      <c r="AG6" s="6">
        <v>2.2748812736353701</v>
      </c>
      <c r="AH6" s="6">
        <v>65.86145746497489</v>
      </c>
      <c r="AI6" s="6">
        <v>1.255336800972233</v>
      </c>
      <c r="AJ6" s="11">
        <v>79.665267772164768</v>
      </c>
      <c r="AK6" s="11">
        <v>7.1078524353117452</v>
      </c>
      <c r="AL6" s="11">
        <v>90.9</v>
      </c>
      <c r="AM6" s="11">
        <v>5.5</v>
      </c>
      <c r="AN6" s="11">
        <v>122.98071593572119</v>
      </c>
      <c r="AO6" s="11">
        <v>2.9869506943467861</v>
      </c>
      <c r="AP6" s="11">
        <v>154.8825750569884</v>
      </c>
      <c r="AQ6" s="11">
        <v>4.0367576013942026</v>
      </c>
      <c r="AR6" s="11">
        <v>182.06223555756981</v>
      </c>
      <c r="AS6" s="11">
        <v>9.5918557217774385</v>
      </c>
      <c r="AT6" s="11">
        <v>179.65228426325621</v>
      </c>
      <c r="AU6" s="11">
        <v>5.2894817359137418</v>
      </c>
    </row>
    <row r="7" spans="1:48" x14ac:dyDescent="0.2">
      <c r="A7" s="6">
        <v>8</v>
      </c>
      <c r="B7" s="6">
        <v>3</v>
      </c>
      <c r="I7" s="7">
        <v>27.4</v>
      </c>
      <c r="J7" s="6">
        <v>1.3</v>
      </c>
      <c r="K7" s="8">
        <v>0.21199999999999999</v>
      </c>
      <c r="L7" s="8">
        <v>0.20499999999999999</v>
      </c>
      <c r="M7" s="8"/>
      <c r="N7" s="9">
        <f t="shared" si="0"/>
        <v>0.20849999999999999</v>
      </c>
      <c r="O7" s="6">
        <f t="shared" si="1"/>
        <v>3.5000000000000027E-3</v>
      </c>
      <c r="P7" s="10">
        <v>111.044347300121</v>
      </c>
      <c r="Q7" s="11">
        <v>1.803141863978357</v>
      </c>
      <c r="R7" s="6">
        <v>82.87</v>
      </c>
      <c r="S7" s="6">
        <v>2.09</v>
      </c>
      <c r="T7" s="6">
        <v>68.599999999999994</v>
      </c>
      <c r="U7" s="6">
        <v>1.45</v>
      </c>
      <c r="V7" s="6">
        <v>54.71</v>
      </c>
      <c r="W7" s="6">
        <v>2.4500000000000002</v>
      </c>
      <c r="X7" s="6">
        <v>44.14</v>
      </c>
      <c r="Y7" s="6">
        <v>2</v>
      </c>
      <c r="Z7" s="6">
        <v>16.829999999999998</v>
      </c>
      <c r="AA7" s="6">
        <v>0.85</v>
      </c>
      <c r="AB7" s="6">
        <v>80.535443127304532</v>
      </c>
      <c r="AC7" s="6">
        <v>3.4743680736856359</v>
      </c>
      <c r="AD7" s="6">
        <v>52.514624440148729</v>
      </c>
      <c r="AE7" s="6">
        <v>0.55336321588561521</v>
      </c>
      <c r="AF7" s="6">
        <v>27.921901312596329</v>
      </c>
      <c r="AG7" s="6">
        <v>1.26623486113035</v>
      </c>
      <c r="AH7" s="6">
        <v>67.537719652619543</v>
      </c>
      <c r="AI7" s="6">
        <v>0.66520494183725587</v>
      </c>
      <c r="AJ7" s="11">
        <v>78.815984823490609</v>
      </c>
      <c r="AK7" s="11">
        <v>4.4781248357856258</v>
      </c>
      <c r="AL7" s="11">
        <v>89.5</v>
      </c>
      <c r="AM7" s="11">
        <v>4.9000000000000004</v>
      </c>
      <c r="AN7" s="11">
        <v>118.1734513561881</v>
      </c>
      <c r="AO7" s="11">
        <v>3.542331767536524</v>
      </c>
      <c r="AP7" s="11">
        <v>144.62034357097869</v>
      </c>
      <c r="AQ7" s="11">
        <v>6.475909322536161</v>
      </c>
      <c r="AR7" s="11">
        <v>134.7496950701339</v>
      </c>
      <c r="AS7" s="11">
        <v>3.7559557453708852</v>
      </c>
      <c r="AT7" s="11">
        <v>148.7509091658919</v>
      </c>
      <c r="AU7" s="11">
        <v>3.848106434267764</v>
      </c>
    </row>
    <row r="8" spans="1:48" x14ac:dyDescent="0.2">
      <c r="A8" s="6">
        <v>5</v>
      </c>
      <c r="F8" s="13">
        <v>38.888888888888893</v>
      </c>
      <c r="G8" s="13">
        <v>34.899328859060397</v>
      </c>
      <c r="H8" s="13">
        <v>36.056338028169002</v>
      </c>
      <c r="I8" s="14">
        <f t="shared" ref="I8:I24" si="2">AVERAGE(F8:H8)</f>
        <v>36.614851925372761</v>
      </c>
      <c r="J8" s="13">
        <v>1.1850598631754941</v>
      </c>
      <c r="K8" s="8">
        <v>0.29962866225172191</v>
      </c>
      <c r="L8" s="8">
        <v>0.29962866225172191</v>
      </c>
      <c r="M8" s="8">
        <v>0.30130762113632209</v>
      </c>
      <c r="N8" s="9">
        <f t="shared" si="0"/>
        <v>0.30018831521325534</v>
      </c>
      <c r="O8" s="6">
        <f t="shared" ref="O8:O14" si="3">STDEV(K8:M8)/SQRT(3)</f>
        <v>5.5965296153339306E-4</v>
      </c>
      <c r="P8" s="10">
        <v>56.958537908634334</v>
      </c>
      <c r="Q8" s="11">
        <v>2.6</v>
      </c>
      <c r="R8" s="13">
        <v>73.993559244528143</v>
      </c>
      <c r="S8" s="13">
        <v>0.2019169515889416</v>
      </c>
      <c r="T8" s="13">
        <v>63.845029038966707</v>
      </c>
      <c r="U8" s="13">
        <v>1.534789151100213</v>
      </c>
      <c r="V8" s="13">
        <v>58.880025982776708</v>
      </c>
      <c r="W8" s="13">
        <v>1.4587210975097931</v>
      </c>
      <c r="X8" s="13">
        <v>54.426991171295917</v>
      </c>
      <c r="Y8" s="13">
        <v>1.4020917726734601</v>
      </c>
      <c r="Z8" s="13">
        <v>22.69466458079118</v>
      </c>
      <c r="AA8" s="13">
        <v>0.90937396931060022</v>
      </c>
      <c r="AB8" s="6">
        <v>157.6598757405977</v>
      </c>
      <c r="AC8" s="6">
        <v>2.9487737668667782</v>
      </c>
      <c r="AD8" s="6">
        <v>58.152647700519182</v>
      </c>
      <c r="AE8" s="6">
        <v>0.14928230059075989</v>
      </c>
      <c r="AF8" s="13">
        <v>51.133702720057087</v>
      </c>
      <c r="AG8" s="13">
        <v>1.2363928898022749</v>
      </c>
      <c r="AH8" s="13">
        <v>67.305829372522979</v>
      </c>
      <c r="AI8" s="13">
        <v>0.1622273702403538</v>
      </c>
      <c r="AJ8" s="11">
        <v>30.072196614843431</v>
      </c>
      <c r="AK8" s="11">
        <v>0.4</v>
      </c>
      <c r="AL8" s="11">
        <v>39.03</v>
      </c>
      <c r="AM8" s="11">
        <v>0.61</v>
      </c>
      <c r="AN8" s="11">
        <v>65.747216895484073</v>
      </c>
      <c r="AO8" s="11">
        <v>2</v>
      </c>
      <c r="AP8" s="11">
        <v>80.473200557186104</v>
      </c>
      <c r="AQ8" s="11">
        <v>2.6</v>
      </c>
      <c r="AR8" s="11">
        <v>99.53222717388411</v>
      </c>
      <c r="AS8" s="11">
        <v>4.8</v>
      </c>
      <c r="AT8" s="11">
        <v>105.74031782547944</v>
      </c>
      <c r="AU8" s="11">
        <v>2.7</v>
      </c>
    </row>
    <row r="9" spans="1:48" x14ac:dyDescent="0.2">
      <c r="A9" s="6">
        <v>5</v>
      </c>
      <c r="C9" s="6">
        <v>0.7</v>
      </c>
      <c r="F9" s="13">
        <v>43.550295857988182</v>
      </c>
      <c r="G9" s="13">
        <v>44.851258581235683</v>
      </c>
      <c r="H9" s="13">
        <v>45.360824742268044</v>
      </c>
      <c r="I9" s="14">
        <f t="shared" si="2"/>
        <v>44.587459727163974</v>
      </c>
      <c r="J9" s="13">
        <v>0.53904115079774817</v>
      </c>
      <c r="K9" s="8">
        <v>0.36071370689656668</v>
      </c>
      <c r="L9" s="8">
        <v>0.36266704056166671</v>
      </c>
      <c r="M9" s="8">
        <v>0.35672555081431029</v>
      </c>
      <c r="N9" s="9">
        <f t="shared" si="0"/>
        <v>0.3600354327575146</v>
      </c>
      <c r="O9" s="6">
        <f t="shared" si="3"/>
        <v>1.748367520504536E-3</v>
      </c>
      <c r="P9" s="10">
        <v>57.115160102612151</v>
      </c>
      <c r="Q9" s="11">
        <v>3</v>
      </c>
      <c r="R9" s="13">
        <v>79.924212937222478</v>
      </c>
      <c r="S9" s="13">
        <v>1.060739414862349</v>
      </c>
      <c r="T9" s="13">
        <v>71.166957165102559</v>
      </c>
      <c r="U9" s="13">
        <v>0.63743348894849505</v>
      </c>
      <c r="V9" s="13">
        <v>66.111344307084494</v>
      </c>
      <c r="W9" s="13">
        <v>0.69310626671986764</v>
      </c>
      <c r="X9" s="13">
        <v>61.806567391100387</v>
      </c>
      <c r="Y9" s="13">
        <v>0.65555597887533246</v>
      </c>
      <c r="Z9" s="13">
        <v>31.084587828663309</v>
      </c>
      <c r="AA9" s="13">
        <v>0.58172118750571089</v>
      </c>
      <c r="AB9" s="6">
        <v>215.9893245733189</v>
      </c>
      <c r="AC9" s="6">
        <v>6.7797710813927301</v>
      </c>
      <c r="AD9" s="6">
        <v>58.189929978557281</v>
      </c>
      <c r="AE9" s="6">
        <v>0.36993969527013842</v>
      </c>
      <c r="AF9" s="13">
        <v>82.812460620637566</v>
      </c>
      <c r="AG9" s="13">
        <v>4.0378283095037188</v>
      </c>
      <c r="AH9" s="13">
        <v>62.218603579429228</v>
      </c>
      <c r="AI9" s="13">
        <v>1.567317736857665</v>
      </c>
      <c r="AJ9" s="11">
        <v>29.188752979334033</v>
      </c>
      <c r="AK9" s="11">
        <v>0.4</v>
      </c>
      <c r="AL9" s="11">
        <v>38.5</v>
      </c>
      <c r="AM9" s="11">
        <v>1.03</v>
      </c>
      <c r="AN9" s="11">
        <v>67.115811147211318</v>
      </c>
      <c r="AO9" s="11">
        <v>3.2</v>
      </c>
      <c r="AP9" s="11">
        <v>78.549390732420846</v>
      </c>
      <c r="AQ9" s="11">
        <v>2.5</v>
      </c>
      <c r="AR9" s="11">
        <v>99.772131405510493</v>
      </c>
      <c r="AS9" s="11">
        <v>3</v>
      </c>
      <c r="AT9" s="11">
        <v>95.659880598529057</v>
      </c>
      <c r="AU9" s="11">
        <v>1.5</v>
      </c>
    </row>
    <row r="10" spans="1:48" x14ac:dyDescent="0.2">
      <c r="A10" s="6">
        <v>5</v>
      </c>
      <c r="C10" s="6">
        <v>1</v>
      </c>
      <c r="F10" s="13">
        <v>45.336481700118057</v>
      </c>
      <c r="G10" s="13"/>
      <c r="H10" s="13">
        <v>44.497041420118357</v>
      </c>
      <c r="I10" s="14">
        <f t="shared" si="2"/>
        <v>44.916761560118204</v>
      </c>
      <c r="J10" s="13">
        <f>_xlfn.STDEV.S(F10:H10)/SQRT(2)</f>
        <v>0.41972013999984981</v>
      </c>
      <c r="K10" s="8">
        <v>0.35833537476318278</v>
      </c>
      <c r="L10" s="8">
        <v>0.3571795507362534</v>
      </c>
      <c r="M10" s="8">
        <v>0.35115568816809561</v>
      </c>
      <c r="N10" s="9">
        <f t="shared" si="0"/>
        <v>0.35555687122251056</v>
      </c>
      <c r="O10" s="6">
        <f t="shared" si="3"/>
        <v>2.2257426853493959E-3</v>
      </c>
      <c r="P10" s="10">
        <v>44.308894750685845</v>
      </c>
      <c r="Q10" s="11">
        <v>0</v>
      </c>
      <c r="R10" s="13">
        <v>76.903874994856182</v>
      </c>
      <c r="S10" s="13">
        <v>1.1878700537057509</v>
      </c>
      <c r="T10" s="13">
        <v>69.470917422759399</v>
      </c>
      <c r="U10" s="13">
        <v>1.7898944639295651</v>
      </c>
      <c r="V10" s="13">
        <v>64.672195290031055</v>
      </c>
      <c r="W10" s="13">
        <v>1.6142033410157459</v>
      </c>
      <c r="X10" s="13">
        <v>60.491071671808463</v>
      </c>
      <c r="Y10" s="13">
        <v>1.526449247778018</v>
      </c>
      <c r="Z10" s="13">
        <v>30.35502059653167</v>
      </c>
      <c r="AA10" s="13">
        <v>1.198847225582804</v>
      </c>
      <c r="AB10" s="6">
        <v>218.5437785891325</v>
      </c>
      <c r="AC10" s="6">
        <v>5.7779229156353624</v>
      </c>
      <c r="AD10" s="6">
        <v>58.700096847531903</v>
      </c>
      <c r="AE10" s="6">
        <v>0.26180535997835203</v>
      </c>
      <c r="AF10" s="13">
        <v>77.134353596562107</v>
      </c>
      <c r="AG10" s="13">
        <v>1.7770614410736809</v>
      </c>
      <c r="AH10" s="13">
        <v>66.769756158381128</v>
      </c>
      <c r="AI10" s="13">
        <v>0.51650085252941924</v>
      </c>
      <c r="AJ10" s="11">
        <v>27.225458071349035</v>
      </c>
      <c r="AK10" s="11">
        <v>1.7999999999999998</v>
      </c>
      <c r="AL10" s="11">
        <v>32.92</v>
      </c>
      <c r="AM10" s="11">
        <v>1.19</v>
      </c>
      <c r="AN10" s="11">
        <v>58.268067643113433</v>
      </c>
      <c r="AO10" s="11">
        <v>1.5</v>
      </c>
      <c r="AP10" s="11">
        <v>75.504986219370068</v>
      </c>
      <c r="AQ10" s="11">
        <v>0.89999999999999991</v>
      </c>
      <c r="AR10" s="11">
        <v>93.209857970322872</v>
      </c>
      <c r="AS10" s="11">
        <v>2.2999999999999998</v>
      </c>
      <c r="AT10" s="11">
        <v>94.78889696470317</v>
      </c>
      <c r="AU10" s="11">
        <v>0.89999999999999991</v>
      </c>
    </row>
    <row r="11" spans="1:48" x14ac:dyDescent="0.2">
      <c r="A11" s="6">
        <v>5</v>
      </c>
      <c r="C11" s="6">
        <v>2</v>
      </c>
      <c r="F11" s="13"/>
      <c r="G11" s="13">
        <v>41.997063142437597</v>
      </c>
      <c r="H11" s="13">
        <v>43.574593796159533</v>
      </c>
      <c r="I11" s="14">
        <f t="shared" si="2"/>
        <v>42.785828469298565</v>
      </c>
      <c r="J11" s="13">
        <f>STDEV(F11:H11)/SQRT(2)</f>
        <v>0.78876532686096823</v>
      </c>
      <c r="K11" s="8">
        <v>0.36594916020759299</v>
      </c>
      <c r="L11" s="8">
        <v>0.34758642189421141</v>
      </c>
      <c r="M11" s="8">
        <v>0.36062874271406498</v>
      </c>
      <c r="N11" s="9">
        <f t="shared" si="0"/>
        <v>0.35805477493862314</v>
      </c>
      <c r="O11" s="6">
        <f t="shared" si="3"/>
        <v>5.4548608956658346E-3</v>
      </c>
      <c r="P11" s="10">
        <v>43.326300689242103</v>
      </c>
      <c r="Q11" s="11">
        <v>1.3</v>
      </c>
      <c r="R11" s="13">
        <v>77.796377660803259</v>
      </c>
      <c r="S11" s="13">
        <v>0.87474702327562126</v>
      </c>
      <c r="T11" s="13">
        <v>71.276474486584561</v>
      </c>
      <c r="U11" s="13">
        <v>0.98346414275337468</v>
      </c>
      <c r="V11" s="13">
        <v>66.996288232001191</v>
      </c>
      <c r="W11" s="13">
        <v>0.90998735349088389</v>
      </c>
      <c r="X11" s="13">
        <v>62.434337835322687</v>
      </c>
      <c r="Y11" s="13">
        <v>0.9879723396750385</v>
      </c>
      <c r="Z11" s="13">
        <v>30.00491915322759</v>
      </c>
      <c r="AA11" s="13">
        <v>1.2646353534040871</v>
      </c>
      <c r="AB11" s="6">
        <v>196.34119351021019</v>
      </c>
      <c r="AC11" s="6">
        <v>4.8962571920472806</v>
      </c>
      <c r="AD11" s="6">
        <v>58.397934558277207</v>
      </c>
      <c r="AE11" s="6">
        <v>0.2336208538258209</v>
      </c>
      <c r="AF11" s="13">
        <v>76.40645992317215</v>
      </c>
      <c r="AG11" s="13">
        <v>2.33576366017232</v>
      </c>
      <c r="AH11" s="13">
        <v>68.834934406421183</v>
      </c>
      <c r="AI11" s="13">
        <v>0.33126297672685973</v>
      </c>
      <c r="AJ11" s="11">
        <v>26.298348823506316</v>
      </c>
      <c r="AK11" s="11">
        <v>0.70000000000000007</v>
      </c>
      <c r="AL11" s="11">
        <v>31.97</v>
      </c>
      <c r="AM11" s="11">
        <v>0.66</v>
      </c>
      <c r="AN11" s="11">
        <v>52.977134725650046</v>
      </c>
      <c r="AO11" s="11">
        <v>1.7999999999999998</v>
      </c>
      <c r="AP11" s="11">
        <v>68.680923792639732</v>
      </c>
      <c r="AQ11" s="11">
        <v>1.2</v>
      </c>
      <c r="AR11" s="11">
        <v>80.320517525605482</v>
      </c>
      <c r="AS11" s="11">
        <v>2.1999999999999997</v>
      </c>
      <c r="AT11" s="11">
        <v>85.876289642588773</v>
      </c>
      <c r="AU11" s="11">
        <v>1.7000000000000002</v>
      </c>
    </row>
    <row r="12" spans="1:48" x14ac:dyDescent="0.2">
      <c r="A12" s="6">
        <v>5</v>
      </c>
      <c r="C12" s="6">
        <v>3</v>
      </c>
      <c r="F12" s="13">
        <v>31.02310231023101</v>
      </c>
      <c r="G12" s="13">
        <v>32.066115702479351</v>
      </c>
      <c r="H12" s="13">
        <v>34.248788368336022</v>
      </c>
      <c r="I12" s="14">
        <f t="shared" si="2"/>
        <v>32.446002127015461</v>
      </c>
      <c r="J12" s="13">
        <f>STDEV(F12:H12)/SQRT(3)</f>
        <v>0.95035044554160575</v>
      </c>
      <c r="K12" s="8">
        <v>0.25718438732471721</v>
      </c>
      <c r="L12" s="8">
        <v>0.26381580325698051</v>
      </c>
      <c r="M12" s="8">
        <v>0.2578889750611289</v>
      </c>
      <c r="N12" s="9">
        <f t="shared" si="0"/>
        <v>0.25962972188094219</v>
      </c>
      <c r="O12" s="6">
        <f t="shared" si="3"/>
        <v>2.1029002936172442E-3</v>
      </c>
      <c r="P12" s="10">
        <v>57.722205312755506</v>
      </c>
      <c r="Q12" s="11">
        <v>2.8000000000000003</v>
      </c>
      <c r="R12" s="13">
        <v>74.147544435747733</v>
      </c>
      <c r="S12" s="13">
        <v>0.69137635667676334</v>
      </c>
      <c r="T12" s="13">
        <v>61.457548750909751</v>
      </c>
      <c r="U12" s="13">
        <v>1.461714730517133</v>
      </c>
      <c r="V12" s="13">
        <v>56.21463438750984</v>
      </c>
      <c r="W12" s="13">
        <v>1.260675235678731</v>
      </c>
      <c r="X12" s="13">
        <v>51.460907935410972</v>
      </c>
      <c r="Y12" s="13">
        <v>1.193208375102689</v>
      </c>
      <c r="Z12" s="13">
        <v>17.47684828697292</v>
      </c>
      <c r="AA12" s="13">
        <v>0.65741577617515357</v>
      </c>
      <c r="AB12" s="6">
        <v>92.400120856364964</v>
      </c>
      <c r="AC12" s="6">
        <v>1.131912214722878</v>
      </c>
      <c r="AD12" s="6">
        <v>57.698063526207243</v>
      </c>
      <c r="AE12" s="6">
        <v>7.0736802565384158E-2</v>
      </c>
      <c r="AF12" s="13">
        <v>35.349976610608152</v>
      </c>
      <c r="AG12" s="13">
        <v>0.46799410738135783</v>
      </c>
      <c r="AH12" s="13">
        <v>73.181998638391576</v>
      </c>
      <c r="AI12" s="13">
        <v>2.0790400937598439</v>
      </c>
      <c r="AJ12" s="11">
        <v>39.853673432442712</v>
      </c>
      <c r="AK12" s="11">
        <v>0.4</v>
      </c>
      <c r="AL12" s="11">
        <v>45.81</v>
      </c>
      <c r="AM12" s="11">
        <v>0.79</v>
      </c>
      <c r="AN12" s="11">
        <v>63.962665318456416</v>
      </c>
      <c r="AO12" s="11">
        <v>1.3</v>
      </c>
      <c r="AP12" s="11">
        <v>83.28273992472873</v>
      </c>
      <c r="AQ12" s="11">
        <v>1.6</v>
      </c>
      <c r="AR12" s="11">
        <v>93.495809152085457</v>
      </c>
      <c r="AS12" s="11">
        <v>1.2</v>
      </c>
      <c r="AT12" s="11">
        <v>104.87348592777128</v>
      </c>
      <c r="AU12" s="11">
        <v>2.4</v>
      </c>
    </row>
    <row r="13" spans="1:48" x14ac:dyDescent="0.2">
      <c r="A13" s="6">
        <v>8</v>
      </c>
      <c r="B13" s="6">
        <v>1</v>
      </c>
      <c r="D13" s="6">
        <v>1</v>
      </c>
      <c r="F13" s="6">
        <v>42.93</v>
      </c>
      <c r="H13" s="6">
        <v>41.46</v>
      </c>
      <c r="I13" s="14">
        <f t="shared" si="2"/>
        <v>42.195</v>
      </c>
      <c r="J13" s="13">
        <f>STDEV(F13:H13)/SQRT(2)</f>
        <v>0.73499999999999932</v>
      </c>
      <c r="K13" s="8">
        <v>0.1648</v>
      </c>
      <c r="L13" s="8">
        <v>0.16270000000000001</v>
      </c>
      <c r="M13" s="8">
        <v>0.1661</v>
      </c>
      <c r="N13" s="9">
        <f t="shared" si="0"/>
        <v>0.16453333333333334</v>
      </c>
      <c r="O13" s="6">
        <f t="shared" si="3"/>
        <v>9.9051053054023783E-4</v>
      </c>
      <c r="P13" s="15">
        <v>200.74</v>
      </c>
      <c r="Q13" s="6">
        <v>4.3600000000000003</v>
      </c>
      <c r="R13" s="6">
        <v>85.47</v>
      </c>
      <c r="S13" s="6">
        <v>0.75</v>
      </c>
      <c r="T13" s="6">
        <v>78.86</v>
      </c>
      <c r="U13" s="6">
        <v>0.77</v>
      </c>
      <c r="V13" s="6">
        <v>72.849999999999994</v>
      </c>
      <c r="W13" s="6">
        <v>1.07</v>
      </c>
      <c r="X13" s="6">
        <v>65.59</v>
      </c>
      <c r="Y13" s="6">
        <v>1.18</v>
      </c>
      <c r="Z13" s="6">
        <v>9.75</v>
      </c>
      <c r="AA13" s="6">
        <v>0.54</v>
      </c>
      <c r="AB13" s="6">
        <v>50.99</v>
      </c>
      <c r="AC13" s="6">
        <v>0.88</v>
      </c>
      <c r="AD13" s="6">
        <v>51.64</v>
      </c>
      <c r="AE13" s="6">
        <v>0.17</v>
      </c>
      <c r="AF13" s="6">
        <v>19.559999999999999</v>
      </c>
      <c r="AG13" s="6">
        <v>0.38</v>
      </c>
      <c r="AH13" s="6">
        <v>65.59</v>
      </c>
      <c r="AI13" s="6">
        <v>0.97</v>
      </c>
      <c r="AJ13" s="6">
        <v>134.16</v>
      </c>
      <c r="AK13" s="6">
        <v>2.38</v>
      </c>
      <c r="AL13" s="6">
        <v>156.35</v>
      </c>
      <c r="AM13" s="6">
        <v>2.99</v>
      </c>
      <c r="AN13" s="6">
        <v>234.37</v>
      </c>
      <c r="AO13" s="6">
        <v>3</v>
      </c>
      <c r="AP13" s="6">
        <v>245.99</v>
      </c>
      <c r="AQ13" s="6">
        <v>0.37</v>
      </c>
      <c r="AR13" s="6">
        <v>267.98</v>
      </c>
      <c r="AS13" s="6">
        <v>2.08</v>
      </c>
      <c r="AT13" s="6">
        <v>276.71000000000004</v>
      </c>
      <c r="AU13" s="6">
        <v>1.36</v>
      </c>
    </row>
    <row r="14" spans="1:48" x14ac:dyDescent="0.2">
      <c r="A14" s="6">
        <v>8</v>
      </c>
      <c r="C14" s="6">
        <v>3</v>
      </c>
      <c r="D14" s="6">
        <v>1</v>
      </c>
      <c r="F14" s="6">
        <v>26.03</v>
      </c>
      <c r="G14" s="6">
        <v>34.369999999999997</v>
      </c>
      <c r="H14" s="6">
        <v>29.96</v>
      </c>
      <c r="I14" s="14">
        <f t="shared" si="2"/>
        <v>30.12</v>
      </c>
      <c r="J14" s="16">
        <f t="shared" ref="J14:J18" si="4">STDEV(F14:H14)/SQRT(3)</f>
        <v>2.4088794075254079</v>
      </c>
      <c r="K14" s="8">
        <v>0.16120000000000001</v>
      </c>
      <c r="L14" s="8">
        <v>0.15179999999999999</v>
      </c>
      <c r="M14" s="8">
        <v>0.1537</v>
      </c>
      <c r="N14" s="9">
        <f t="shared" si="0"/>
        <v>0.15556666666666666</v>
      </c>
      <c r="O14" s="6">
        <f t="shared" si="3"/>
        <v>2.8695721709767947E-3</v>
      </c>
      <c r="P14" s="15"/>
      <c r="R14" s="6">
        <v>89.68</v>
      </c>
      <c r="S14" s="6">
        <v>0.65</v>
      </c>
      <c r="T14" s="6">
        <v>84.09</v>
      </c>
      <c r="U14" s="6">
        <v>0.73</v>
      </c>
      <c r="V14" s="6">
        <v>78.41</v>
      </c>
      <c r="W14" s="6">
        <v>1.1299999999999999</v>
      </c>
      <c r="X14" s="6">
        <v>71.86</v>
      </c>
      <c r="Y14" s="6">
        <v>1.6</v>
      </c>
      <c r="Z14" s="6">
        <v>4.9400000000000004</v>
      </c>
      <c r="AA14" s="6">
        <v>1.38</v>
      </c>
      <c r="AB14" s="6">
        <v>40.1</v>
      </c>
      <c r="AC14" s="6">
        <v>2.92</v>
      </c>
      <c r="AD14" s="6">
        <v>52.19</v>
      </c>
      <c r="AE14" s="6">
        <v>0.33</v>
      </c>
      <c r="AF14" s="6">
        <v>19.61</v>
      </c>
      <c r="AG14" s="6">
        <v>1.17</v>
      </c>
      <c r="AH14" s="6">
        <v>58.88</v>
      </c>
      <c r="AI14" s="6">
        <v>1.23</v>
      </c>
      <c r="AJ14" s="6">
        <v>144.68</v>
      </c>
      <c r="AK14" s="6">
        <v>13.83</v>
      </c>
      <c r="AL14" s="6">
        <v>168.81</v>
      </c>
      <c r="AM14" s="6">
        <v>16.23</v>
      </c>
      <c r="AN14" s="6">
        <v>268.81</v>
      </c>
      <c r="AO14" s="6">
        <v>24.49</v>
      </c>
      <c r="AP14" s="6">
        <v>295.65999999999997</v>
      </c>
      <c r="AQ14" s="6">
        <v>19.079999999999998</v>
      </c>
      <c r="AR14" s="6">
        <v>304.31</v>
      </c>
      <c r="AS14" s="6">
        <v>22.42</v>
      </c>
      <c r="AT14" s="6">
        <v>294.72000000000003</v>
      </c>
      <c r="AU14" s="6">
        <v>21.46</v>
      </c>
    </row>
    <row r="15" spans="1:48" x14ac:dyDescent="0.2">
      <c r="A15" s="6">
        <v>8</v>
      </c>
      <c r="B15" s="6">
        <v>1</v>
      </c>
      <c r="D15" s="6">
        <v>2</v>
      </c>
      <c r="F15" s="6">
        <v>46.22</v>
      </c>
      <c r="G15" s="6">
        <v>43.67</v>
      </c>
      <c r="H15" s="6">
        <v>46.89</v>
      </c>
      <c r="I15" s="14">
        <f t="shared" si="2"/>
        <v>45.593333333333334</v>
      </c>
      <c r="J15" s="13">
        <f t="shared" si="4"/>
        <v>0.98092360105724352</v>
      </c>
      <c r="K15" s="8"/>
      <c r="L15" s="8">
        <v>0.1391</v>
      </c>
      <c r="M15" s="8">
        <v>0.14030000000000001</v>
      </c>
      <c r="N15" s="9">
        <f t="shared" si="0"/>
        <v>0.13969999999999999</v>
      </c>
      <c r="O15" s="6">
        <f>STDEV(K15:M15)/SQRT(2)</f>
        <v>6.000000000000032E-4</v>
      </c>
      <c r="P15" s="15">
        <v>209.67</v>
      </c>
      <c r="Q15" s="6">
        <v>5.48</v>
      </c>
      <c r="R15" s="6">
        <v>89.06</v>
      </c>
      <c r="S15" s="6">
        <v>1.86</v>
      </c>
      <c r="T15" s="6">
        <v>82.82</v>
      </c>
      <c r="U15" s="6">
        <v>2.75</v>
      </c>
      <c r="V15" s="6">
        <v>74.91</v>
      </c>
      <c r="W15" s="6">
        <v>2.58</v>
      </c>
      <c r="X15" s="6">
        <v>67.010000000000005</v>
      </c>
      <c r="Y15" s="6">
        <v>2.27</v>
      </c>
      <c r="Z15" s="6">
        <v>10.55</v>
      </c>
      <c r="AA15" s="6">
        <v>1.02</v>
      </c>
      <c r="AB15" s="6">
        <v>39.06</v>
      </c>
      <c r="AC15" s="6">
        <v>1.1299999999999999</v>
      </c>
      <c r="AD15" s="6">
        <v>52.01</v>
      </c>
      <c r="AE15" s="6">
        <v>0.33</v>
      </c>
      <c r="AF15" s="6">
        <v>16.73</v>
      </c>
      <c r="AG15" s="6">
        <v>0.82</v>
      </c>
      <c r="AH15" s="6">
        <v>63.88</v>
      </c>
      <c r="AI15" s="6">
        <v>0.32</v>
      </c>
      <c r="AJ15" s="6">
        <v>154.67000000000002</v>
      </c>
      <c r="AK15" s="6">
        <v>3.47</v>
      </c>
      <c r="AL15" s="6">
        <v>173</v>
      </c>
      <c r="AM15" s="6">
        <v>2.0099999999999998</v>
      </c>
      <c r="AN15" s="6">
        <v>249.31</v>
      </c>
      <c r="AO15" s="6">
        <v>5.17</v>
      </c>
      <c r="AP15" s="6">
        <v>270.74</v>
      </c>
      <c r="AQ15" s="6">
        <v>6.94</v>
      </c>
      <c r="AR15" s="6">
        <v>270.85000000000002</v>
      </c>
      <c r="AS15" s="6">
        <v>10.78</v>
      </c>
      <c r="AT15" s="6">
        <v>294.18</v>
      </c>
      <c r="AU15" s="6">
        <v>5.5</v>
      </c>
    </row>
    <row r="16" spans="1:48" x14ac:dyDescent="0.2">
      <c r="A16" s="6">
        <v>8</v>
      </c>
      <c r="C16" s="6">
        <v>3</v>
      </c>
      <c r="D16" s="6">
        <v>2</v>
      </c>
      <c r="F16" s="6">
        <v>42.3</v>
      </c>
      <c r="G16" s="6">
        <v>47.27</v>
      </c>
      <c r="H16" s="6">
        <v>45.02</v>
      </c>
      <c r="I16" s="14">
        <f t="shared" si="2"/>
        <v>44.863333333333337</v>
      </c>
      <c r="J16" s="13">
        <f t="shared" si="4"/>
        <v>1.4368522695268466</v>
      </c>
      <c r="K16" s="8">
        <v>0.16070000000000001</v>
      </c>
      <c r="L16" s="8">
        <v>0.16120000000000001</v>
      </c>
      <c r="M16" s="8">
        <v>0.1618</v>
      </c>
      <c r="N16" s="9">
        <f t="shared" si="0"/>
        <v>0.16123333333333334</v>
      </c>
      <c r="O16" s="6">
        <f t="shared" ref="O16:O17" si="5">STDEV(K16:M16)/SQRT(3)</f>
        <v>3.1797973380564556E-4</v>
      </c>
      <c r="P16" s="15"/>
      <c r="R16" s="6">
        <v>87.76</v>
      </c>
      <c r="S16" s="6">
        <v>1.05</v>
      </c>
      <c r="T16" s="6">
        <v>81.67</v>
      </c>
      <c r="U16" s="6">
        <v>0.81</v>
      </c>
      <c r="V16" s="6">
        <v>75.33</v>
      </c>
      <c r="W16" s="6">
        <v>1.05</v>
      </c>
      <c r="X16" s="6">
        <v>69.2</v>
      </c>
      <c r="Y16" s="6">
        <v>1.17</v>
      </c>
      <c r="Z16" s="6">
        <v>9.93</v>
      </c>
      <c r="AA16" s="6">
        <v>0.74</v>
      </c>
      <c r="AB16" s="6">
        <v>44.45</v>
      </c>
      <c r="AC16" s="6">
        <v>1.08</v>
      </c>
      <c r="AD16" s="6">
        <v>52.39</v>
      </c>
      <c r="AE16" s="6">
        <v>0.14000000000000001</v>
      </c>
      <c r="AF16" s="6">
        <v>16.97</v>
      </c>
      <c r="AG16" s="6">
        <v>0.36</v>
      </c>
      <c r="AH16" s="6">
        <v>63.96</v>
      </c>
      <c r="AI16" s="6">
        <v>0.96</v>
      </c>
      <c r="AJ16" s="6">
        <v>169.89</v>
      </c>
      <c r="AK16" s="6">
        <v>3.49</v>
      </c>
      <c r="AL16" s="6">
        <v>199.73</v>
      </c>
      <c r="AM16" s="6">
        <v>6.37</v>
      </c>
      <c r="AN16" s="6">
        <v>289.48</v>
      </c>
      <c r="AO16" s="6">
        <v>20.81</v>
      </c>
      <c r="AP16" s="6">
        <v>320.89</v>
      </c>
      <c r="AQ16" s="6">
        <v>13.76</v>
      </c>
      <c r="AR16" s="6">
        <v>322.27999999999997</v>
      </c>
      <c r="AS16" s="6">
        <v>10.85</v>
      </c>
      <c r="AT16" s="6">
        <v>336.29</v>
      </c>
      <c r="AU16" s="6">
        <v>1.6</v>
      </c>
    </row>
    <row r="17" spans="1:47" x14ac:dyDescent="0.2">
      <c r="A17" s="6">
        <v>8</v>
      </c>
      <c r="B17" s="6">
        <v>1</v>
      </c>
      <c r="C17" s="6">
        <v>3</v>
      </c>
      <c r="D17" s="6">
        <v>1</v>
      </c>
      <c r="F17" s="6">
        <v>39.31</v>
      </c>
      <c r="G17" s="6">
        <v>36.71</v>
      </c>
      <c r="H17" s="6">
        <v>34.049999999999997</v>
      </c>
      <c r="I17" s="14">
        <f t="shared" si="2"/>
        <v>36.690000000000005</v>
      </c>
      <c r="J17" s="13">
        <f t="shared" si="4"/>
        <v>1.5184641363342561</v>
      </c>
      <c r="K17" s="8">
        <v>0.14099999999999999</v>
      </c>
      <c r="L17" s="8">
        <v>0.14430000000000001</v>
      </c>
      <c r="M17" s="8">
        <v>0.14599999999999999</v>
      </c>
      <c r="N17" s="9">
        <f t="shared" si="0"/>
        <v>0.14376666666666668</v>
      </c>
      <c r="O17" s="6">
        <f t="shared" si="5"/>
        <v>1.4678025904202691E-3</v>
      </c>
      <c r="P17" s="15">
        <v>236.27</v>
      </c>
      <c r="Q17" s="6">
        <v>4.18</v>
      </c>
      <c r="R17" s="6">
        <v>90.83</v>
      </c>
      <c r="S17" s="6">
        <v>0.96</v>
      </c>
      <c r="T17" s="6">
        <v>84.44</v>
      </c>
      <c r="U17" s="6">
        <v>0.73</v>
      </c>
      <c r="V17" s="6">
        <v>75.819999999999993</v>
      </c>
      <c r="W17" s="6">
        <v>0.73</v>
      </c>
      <c r="X17" s="6">
        <v>66.84</v>
      </c>
      <c r="Y17" s="6">
        <v>0.52</v>
      </c>
      <c r="Z17" s="6">
        <v>4.2699999999999996</v>
      </c>
      <c r="AA17" s="6">
        <v>0.5</v>
      </c>
      <c r="AB17" s="6">
        <v>36.15</v>
      </c>
      <c r="AC17" s="6">
        <v>0.44</v>
      </c>
      <c r="AD17" s="6">
        <v>51.16</v>
      </c>
      <c r="AE17" s="6">
        <v>0.28000000000000003</v>
      </c>
      <c r="AF17" s="6">
        <v>17.04</v>
      </c>
      <c r="AG17" s="6">
        <v>0.32</v>
      </c>
      <c r="AH17" s="6">
        <v>59.19</v>
      </c>
      <c r="AI17" s="6">
        <v>0.61</v>
      </c>
      <c r="AJ17" s="6">
        <v>154.84</v>
      </c>
      <c r="AK17" s="6">
        <v>5.27</v>
      </c>
      <c r="AL17" s="6">
        <v>181.99</v>
      </c>
      <c r="AM17" s="6">
        <v>3.76</v>
      </c>
      <c r="AN17" s="6">
        <v>299.10000000000002</v>
      </c>
      <c r="AO17" s="6">
        <v>8.8800000000000008</v>
      </c>
      <c r="AP17" s="6">
        <v>321.41000000000003</v>
      </c>
      <c r="AQ17" s="6">
        <v>7.24</v>
      </c>
      <c r="AR17" s="6">
        <v>323.8</v>
      </c>
      <c r="AS17" s="6">
        <v>5.77</v>
      </c>
      <c r="AT17" s="6">
        <v>313.20999999999998</v>
      </c>
      <c r="AU17" s="6">
        <v>9.56</v>
      </c>
    </row>
    <row r="18" spans="1:47" x14ac:dyDescent="0.2">
      <c r="A18" s="6">
        <v>8</v>
      </c>
      <c r="B18" s="6">
        <v>1</v>
      </c>
      <c r="C18" s="6">
        <v>3</v>
      </c>
      <c r="D18" s="6">
        <v>2</v>
      </c>
      <c r="F18" s="6">
        <v>34.03</v>
      </c>
      <c r="G18" s="6">
        <v>34.47</v>
      </c>
      <c r="H18" s="6">
        <v>33.42</v>
      </c>
      <c r="I18" s="14">
        <f t="shared" si="2"/>
        <v>33.973333333333336</v>
      </c>
      <c r="J18" s="13">
        <f t="shared" si="4"/>
        <v>0.30443025108845095</v>
      </c>
      <c r="K18" s="8">
        <v>0.16350000000000001</v>
      </c>
      <c r="L18" s="8">
        <v>0.1673</v>
      </c>
      <c r="M18" s="8"/>
      <c r="N18" s="9">
        <f t="shared" si="0"/>
        <v>0.16539999999999999</v>
      </c>
      <c r="O18" s="6">
        <f>STDEV(K18:M18)/SQRT(2)</f>
        <v>1.8999999999999987E-3</v>
      </c>
      <c r="P18" s="15"/>
      <c r="R18" s="6">
        <v>87.65</v>
      </c>
      <c r="S18" s="6">
        <v>0.71</v>
      </c>
      <c r="T18" s="6">
        <v>80.59</v>
      </c>
      <c r="U18" s="6">
        <v>1.29</v>
      </c>
      <c r="V18" s="6">
        <v>74.72</v>
      </c>
      <c r="W18" s="6">
        <v>1.59</v>
      </c>
      <c r="X18" s="6">
        <v>67.36</v>
      </c>
      <c r="Y18" s="6">
        <v>1.45</v>
      </c>
      <c r="Z18" s="6">
        <v>5.79</v>
      </c>
      <c r="AA18" s="6">
        <v>1.43</v>
      </c>
      <c r="AB18" s="6">
        <v>46.35</v>
      </c>
      <c r="AC18" s="6">
        <v>3.5</v>
      </c>
      <c r="AD18" s="6">
        <v>50.81</v>
      </c>
      <c r="AE18" s="6">
        <v>0.43</v>
      </c>
      <c r="AF18" s="6">
        <v>19.62</v>
      </c>
      <c r="AG18" s="6">
        <v>0.48</v>
      </c>
      <c r="AH18" s="6">
        <v>61.23</v>
      </c>
      <c r="AI18" s="6">
        <v>0.54</v>
      </c>
      <c r="AJ18" s="6">
        <v>134.93</v>
      </c>
      <c r="AK18" s="6">
        <v>5.31</v>
      </c>
      <c r="AL18" s="6">
        <v>164.18</v>
      </c>
      <c r="AM18" s="6">
        <v>9.44</v>
      </c>
      <c r="AN18" s="6">
        <v>276.13</v>
      </c>
      <c r="AO18" s="6">
        <v>15.68</v>
      </c>
      <c r="AP18" s="6">
        <v>273.95999999999998</v>
      </c>
      <c r="AQ18" s="6">
        <v>22.9</v>
      </c>
      <c r="AR18" s="6">
        <v>271.95999999999998</v>
      </c>
      <c r="AS18" s="6">
        <v>15.94</v>
      </c>
      <c r="AT18" s="6">
        <v>288.52999999999997</v>
      </c>
      <c r="AU18" s="6">
        <v>18.940000000000001</v>
      </c>
    </row>
    <row r="19" spans="1:47" x14ac:dyDescent="0.2">
      <c r="A19" s="6">
        <v>8</v>
      </c>
      <c r="D19" s="6">
        <v>0.7</v>
      </c>
      <c r="F19" s="13">
        <v>17.524235645041021</v>
      </c>
      <c r="G19" s="13">
        <v>19.17475728155339</v>
      </c>
      <c r="H19" s="13"/>
      <c r="I19" s="14">
        <f t="shared" si="2"/>
        <v>18.349496463297207</v>
      </c>
      <c r="J19" s="13">
        <f t="shared" ref="J19:J22" si="6">STDEV(F19:H19)/SQRT(2)</f>
        <v>0.82526081825618469</v>
      </c>
      <c r="K19" s="8">
        <v>0.20920082793810221</v>
      </c>
      <c r="L19" s="8">
        <v>0.21192770392865459</v>
      </c>
      <c r="M19" s="8">
        <v>0.21511632137597569</v>
      </c>
      <c r="N19" s="9">
        <f t="shared" si="0"/>
        <v>0.2120816177475775</v>
      </c>
      <c r="O19" s="6">
        <f t="shared" ref="O19:O26" si="7">STDEV(K19:M19)/SQRT(3)</f>
        <v>1.7093890478884193E-3</v>
      </c>
      <c r="P19" s="10"/>
      <c r="Q19" s="11"/>
      <c r="R19" s="13">
        <v>84.186015363118386</v>
      </c>
      <c r="S19" s="13">
        <v>0.90918402794118258</v>
      </c>
      <c r="T19" s="13">
        <v>68.455090975899722</v>
      </c>
      <c r="U19" s="13">
        <v>0.35989696475167388</v>
      </c>
      <c r="V19" s="13">
        <v>52.149604892329371</v>
      </c>
      <c r="W19" s="13">
        <v>1.185313900570214</v>
      </c>
      <c r="X19" s="13">
        <v>45.016763552042477</v>
      </c>
      <c r="Y19" s="13">
        <v>1.330500135072292</v>
      </c>
      <c r="Z19" s="13">
        <v>-1.4646015841608819</v>
      </c>
      <c r="AA19" s="13">
        <v>1.305516197334365</v>
      </c>
      <c r="AB19" s="6">
        <v>89.048143383267302</v>
      </c>
      <c r="AC19" s="6">
        <v>1.1864737209666301</v>
      </c>
      <c r="AD19" s="6">
        <v>49.103482947348027</v>
      </c>
      <c r="AE19" s="6">
        <v>0.2886175748144108</v>
      </c>
      <c r="AF19" s="13">
        <v>29.008360158210671</v>
      </c>
      <c r="AG19" s="13">
        <v>0.36944485838432839</v>
      </c>
      <c r="AH19" s="13">
        <v>64.31160131613926</v>
      </c>
      <c r="AI19" s="13">
        <v>0.64152269938722506</v>
      </c>
      <c r="AJ19" s="11">
        <v>118.79560716723606</v>
      </c>
      <c r="AK19" s="11">
        <v>3.5000000000000004</v>
      </c>
      <c r="AL19" s="11">
        <v>162.5</v>
      </c>
      <c r="AM19" s="11">
        <v>3.71</v>
      </c>
      <c r="AN19" s="11">
        <v>239.93913407353057</v>
      </c>
      <c r="AO19" s="11">
        <v>4.3999999999999995</v>
      </c>
      <c r="AP19" s="11">
        <v>237.36302169990267</v>
      </c>
      <c r="AQ19" s="11">
        <v>3.8</v>
      </c>
      <c r="AR19" s="11">
        <v>243.73038508421251</v>
      </c>
      <c r="AS19" s="11">
        <v>3.9</v>
      </c>
      <c r="AT19" s="11">
        <v>230.20642844706484</v>
      </c>
      <c r="AU19" s="11">
        <v>5.7</v>
      </c>
    </row>
    <row r="20" spans="1:47" x14ac:dyDescent="0.2">
      <c r="A20" s="6">
        <v>8</v>
      </c>
      <c r="D20" s="6">
        <v>1</v>
      </c>
      <c r="F20" s="13">
        <v>11.529223378702969</v>
      </c>
      <c r="G20" s="13"/>
      <c r="H20" s="13">
        <v>10.857142857142859</v>
      </c>
      <c r="I20" s="14">
        <f t="shared" si="2"/>
        <v>11.193183117922914</v>
      </c>
      <c r="J20" s="13">
        <f t="shared" si="6"/>
        <v>0.33604026078005494</v>
      </c>
      <c r="K20" s="8">
        <v>0.19729997673184921</v>
      </c>
      <c r="L20" s="8">
        <v>0.1954871269910046</v>
      </c>
      <c r="M20" s="8">
        <v>0.20093415813265819</v>
      </c>
      <c r="N20" s="9">
        <f t="shared" si="0"/>
        <v>0.19790708728517067</v>
      </c>
      <c r="O20" s="6">
        <f t="shared" si="7"/>
        <v>1.6014550136778467E-3</v>
      </c>
      <c r="P20" s="10">
        <v>275.68332578784714</v>
      </c>
      <c r="Q20" s="11">
        <v>6.8000000000000007</v>
      </c>
      <c r="R20" s="13">
        <v>81.242602022064304</v>
      </c>
      <c r="S20" s="13">
        <v>1.292547431931647</v>
      </c>
      <c r="T20" s="13">
        <v>64.063967123801177</v>
      </c>
      <c r="U20" s="13">
        <v>1.073899233258391</v>
      </c>
      <c r="V20" s="13">
        <v>46.654286446887347</v>
      </c>
      <c r="W20" s="13">
        <v>1.1732778632827341</v>
      </c>
      <c r="X20" s="13">
        <v>38.837910369483282</v>
      </c>
      <c r="Y20" s="13">
        <v>1.6619042723634001</v>
      </c>
      <c r="Z20" s="13">
        <v>-5.8275363582392634</v>
      </c>
      <c r="AA20" s="13">
        <v>1.025210659646665</v>
      </c>
      <c r="AB20" s="6">
        <v>78.380532419382178</v>
      </c>
      <c r="AC20" s="6">
        <v>3.9162793702254799</v>
      </c>
      <c r="AD20" s="6">
        <v>49.202733544073119</v>
      </c>
      <c r="AE20" s="6">
        <v>0.25380710068128232</v>
      </c>
      <c r="AF20" s="13">
        <v>27.359952350266418</v>
      </c>
      <c r="AG20" s="13">
        <v>0.29039776636085768</v>
      </c>
      <c r="AH20" s="13">
        <v>63.350902125947947</v>
      </c>
      <c r="AI20" s="13">
        <v>0.37363572159808017</v>
      </c>
      <c r="AJ20" s="11">
        <v>141.83519345970382</v>
      </c>
      <c r="AK20" s="11">
        <v>1</v>
      </c>
      <c r="AL20" s="11">
        <v>186.45</v>
      </c>
      <c r="AM20" s="11">
        <v>2.56</v>
      </c>
      <c r="AN20" s="11">
        <v>262.79287968558288</v>
      </c>
      <c r="AO20" s="11">
        <v>4.1000000000000005</v>
      </c>
      <c r="AP20" s="11">
        <v>261.14428937923611</v>
      </c>
      <c r="AQ20" s="11">
        <v>5.3</v>
      </c>
      <c r="AR20" s="11">
        <v>253.0857101614734</v>
      </c>
      <c r="AS20" s="11">
        <v>5</v>
      </c>
      <c r="AT20" s="11">
        <v>243.41961432723789</v>
      </c>
      <c r="AU20" s="11">
        <v>2.1</v>
      </c>
    </row>
    <row r="21" spans="1:47" x14ac:dyDescent="0.2">
      <c r="A21" s="6">
        <v>8</v>
      </c>
      <c r="D21" s="6">
        <v>2</v>
      </c>
      <c r="F21" s="6">
        <v>-1.07407407407408</v>
      </c>
      <c r="G21" s="6">
        <v>-1.0909090909090899</v>
      </c>
      <c r="I21" s="14">
        <f t="shared" si="2"/>
        <v>-1.0824915824915848</v>
      </c>
      <c r="J21" s="13">
        <f t="shared" si="6"/>
        <v>8.417508417504993E-3</v>
      </c>
      <c r="K21" s="8">
        <v>0.19995047784383471</v>
      </c>
      <c r="L21" s="8">
        <v>0.19702308112206099</v>
      </c>
      <c r="M21" s="8">
        <v>0.1885801357962559</v>
      </c>
      <c r="N21" s="9">
        <f t="shared" si="0"/>
        <v>0.1951845649207172</v>
      </c>
      <c r="O21" s="6">
        <f t="shared" si="7"/>
        <v>3.4086300247405041E-3</v>
      </c>
      <c r="P21" s="10">
        <v>272.34655321910924</v>
      </c>
      <c r="Q21" s="11">
        <v>4.3999999999999995</v>
      </c>
      <c r="R21" s="13">
        <v>86.694014478647304</v>
      </c>
      <c r="S21" s="13">
        <v>0.71149365805653708</v>
      </c>
      <c r="T21" s="13">
        <v>64.910562337996296</v>
      </c>
      <c r="U21" s="13">
        <v>0.77189340354988822</v>
      </c>
      <c r="V21" s="13">
        <v>38.005804496259707</v>
      </c>
      <c r="W21" s="13">
        <v>1.3198618128817321</v>
      </c>
      <c r="X21" s="13">
        <v>28.606273206860578</v>
      </c>
      <c r="Y21" s="13">
        <v>1.073964193309294</v>
      </c>
      <c r="Z21" s="13">
        <v>-10.133853660470709</v>
      </c>
      <c r="AA21" s="13">
        <v>0.27846448686872122</v>
      </c>
      <c r="AB21" s="6">
        <v>65.357063449346427</v>
      </c>
      <c r="AC21" s="6">
        <v>2.4828837430317021</v>
      </c>
      <c r="AD21" s="6">
        <v>50.522256184158962</v>
      </c>
      <c r="AE21" s="6">
        <v>1.269214306624886</v>
      </c>
      <c r="AF21" s="13">
        <v>20.68191732117495</v>
      </c>
      <c r="AG21" s="13">
        <v>4.663818994114876E-2</v>
      </c>
      <c r="AH21" s="13">
        <v>66.325665861853722</v>
      </c>
      <c r="AI21" s="13">
        <v>3.3270976474949632</v>
      </c>
      <c r="AJ21" s="11">
        <v>257.23724108415917</v>
      </c>
      <c r="AK21" s="11">
        <v>4.2</v>
      </c>
      <c r="AL21" s="11">
        <v>262.27</v>
      </c>
      <c r="AM21" s="11">
        <v>4.22</v>
      </c>
      <c r="AN21" s="11">
        <v>267.442043712898</v>
      </c>
      <c r="AO21" s="11">
        <v>8.6999999999999993</v>
      </c>
      <c r="AP21" s="11">
        <v>261.17994912167387</v>
      </c>
      <c r="AQ21" s="11">
        <v>9.8000000000000007</v>
      </c>
      <c r="AR21" s="11">
        <v>255.91292152657741</v>
      </c>
      <c r="AS21" s="11">
        <v>7.0000000000000009</v>
      </c>
      <c r="AT21" s="11">
        <v>235.408294280136</v>
      </c>
      <c r="AU21" s="11">
        <v>8</v>
      </c>
    </row>
    <row r="22" spans="1:47" x14ac:dyDescent="0.2">
      <c r="A22" s="6">
        <v>8</v>
      </c>
      <c r="D22" s="6">
        <v>3</v>
      </c>
      <c r="F22" s="6">
        <v>-1.5930232558139501</v>
      </c>
      <c r="G22" s="6">
        <v>-1.21409214092141</v>
      </c>
      <c r="I22" s="14">
        <f t="shared" si="2"/>
        <v>-1.4035576983676801</v>
      </c>
      <c r="J22" s="13">
        <f t="shared" si="6"/>
        <v>0.18946555744627014</v>
      </c>
      <c r="K22" s="8">
        <v>0.21775575021189869</v>
      </c>
      <c r="L22" s="8">
        <v>0.21516440776472809</v>
      </c>
      <c r="M22" s="8">
        <v>0.21459549974639011</v>
      </c>
      <c r="N22" s="9">
        <f t="shared" si="0"/>
        <v>0.21583855257433895</v>
      </c>
      <c r="O22" s="6">
        <f t="shared" si="7"/>
        <v>9.7256519394687386E-4</v>
      </c>
      <c r="P22" s="10">
        <v>239.68541823775467</v>
      </c>
      <c r="Q22" s="11">
        <v>1.4000000000000001</v>
      </c>
      <c r="R22" s="13">
        <v>86.57815055361479</v>
      </c>
      <c r="S22" s="13">
        <v>0.79895135768443371</v>
      </c>
      <c r="T22" s="13">
        <v>64.154586446902115</v>
      </c>
      <c r="U22" s="13">
        <v>0.71808930421684003</v>
      </c>
      <c r="V22" s="13">
        <v>35.787852928720717</v>
      </c>
      <c r="W22" s="13">
        <v>2.012024404631783</v>
      </c>
      <c r="X22" s="13">
        <v>26.794741083834129</v>
      </c>
      <c r="Y22" s="13">
        <v>1.6436576447825411</v>
      </c>
      <c r="Z22" s="13">
        <v>-11.784827837184849</v>
      </c>
      <c r="AA22" s="13">
        <v>0.14440213696795151</v>
      </c>
      <c r="AB22" s="6">
        <v>71.698357462302255</v>
      </c>
      <c r="AC22" s="6">
        <v>1.7446628893433549</v>
      </c>
      <c r="AD22" s="6">
        <v>50.574220636896378</v>
      </c>
      <c r="AE22" s="6">
        <v>0.12784418370457179</v>
      </c>
      <c r="AF22" s="13">
        <v>25.887025033770382</v>
      </c>
      <c r="AG22" s="13">
        <v>0.67504729041194655</v>
      </c>
      <c r="AH22" s="13">
        <v>66.375889799088384</v>
      </c>
      <c r="AI22" s="13">
        <v>0.74602933203406219</v>
      </c>
      <c r="AJ22" s="11">
        <v>205.29349393528</v>
      </c>
      <c r="AK22" s="11">
        <v>7.8</v>
      </c>
      <c r="AL22" s="11">
        <v>216.76</v>
      </c>
      <c r="AM22" s="11">
        <v>5.29</v>
      </c>
      <c r="AN22" s="11">
        <v>231.99150168640784</v>
      </c>
      <c r="AO22" s="11">
        <v>2.9000000000000004</v>
      </c>
      <c r="AP22" s="11">
        <v>230.54378229165394</v>
      </c>
      <c r="AQ22" s="11">
        <v>0.2</v>
      </c>
      <c r="AR22" s="11">
        <v>221.19391451562399</v>
      </c>
      <c r="AS22" s="11">
        <v>1.2</v>
      </c>
      <c r="AT22" s="11">
        <v>201.890598443713</v>
      </c>
      <c r="AU22" s="11">
        <v>2.2999999999999998</v>
      </c>
    </row>
    <row r="23" spans="1:47" x14ac:dyDescent="0.2">
      <c r="A23" s="6">
        <v>8</v>
      </c>
      <c r="E23" s="6">
        <v>0.7</v>
      </c>
      <c r="F23" s="13">
        <v>35.71428571428573</v>
      </c>
      <c r="G23" s="13">
        <v>33.401849948612544</v>
      </c>
      <c r="H23" s="13">
        <v>34.507042253521128</v>
      </c>
      <c r="I23" s="14">
        <f t="shared" si="2"/>
        <v>34.541059305473134</v>
      </c>
      <c r="J23" s="13">
        <v>0.66775935347468074</v>
      </c>
      <c r="K23" s="8">
        <v>0.20653129878317741</v>
      </c>
      <c r="L23" s="8">
        <v>0.20340948882272791</v>
      </c>
      <c r="M23" s="8">
        <v>0.19726289842934991</v>
      </c>
      <c r="N23" s="9">
        <f t="shared" si="0"/>
        <v>0.20240122867841839</v>
      </c>
      <c r="O23" s="6">
        <f t="shared" si="7"/>
        <v>2.7226367531408297E-3</v>
      </c>
      <c r="P23" s="10">
        <v>117.93915715725419</v>
      </c>
      <c r="Q23" s="11">
        <v>1.2</v>
      </c>
      <c r="R23" s="13">
        <v>81.77790114931372</v>
      </c>
      <c r="S23" s="13">
        <v>0.36913311594369069</v>
      </c>
      <c r="T23" s="13">
        <v>65.432367090112976</v>
      </c>
      <c r="U23" s="13">
        <v>0.3955130409555167</v>
      </c>
      <c r="V23" s="13">
        <v>57.59146145032134</v>
      </c>
      <c r="W23" s="13">
        <v>0.4985572271949375</v>
      </c>
      <c r="X23" s="13">
        <v>52.981381021351687</v>
      </c>
      <c r="Y23" s="13">
        <v>0.52835404642784878</v>
      </c>
      <c r="Z23" s="13">
        <v>21.762369959636509</v>
      </c>
      <c r="AA23" s="13">
        <v>0.48203050417014559</v>
      </c>
      <c r="AB23" s="6">
        <v>82.867032932558232</v>
      </c>
      <c r="AC23" s="6">
        <v>2.565762402027691</v>
      </c>
      <c r="AD23" s="6">
        <v>49.446059849695153</v>
      </c>
      <c r="AE23" s="6">
        <v>0.18157632068728649</v>
      </c>
      <c r="AF23" s="13">
        <v>28.978707356524929</v>
      </c>
      <c r="AG23" s="13">
        <v>1.0169371125320461</v>
      </c>
      <c r="AH23" s="13">
        <v>67.957613780358258</v>
      </c>
      <c r="AI23" s="13">
        <v>1.048582259919522</v>
      </c>
      <c r="AJ23" s="11">
        <v>74.739312893225573</v>
      </c>
      <c r="AK23" s="11">
        <v>4.9000000000000004</v>
      </c>
      <c r="AL23" s="11">
        <v>89.14</v>
      </c>
      <c r="AM23" s="11">
        <v>3.38</v>
      </c>
      <c r="AN23" s="11">
        <v>149.33480197505727</v>
      </c>
      <c r="AO23" s="11">
        <v>2.6</v>
      </c>
      <c r="AP23" s="11">
        <v>165.62585502308067</v>
      </c>
      <c r="AQ23" s="11">
        <v>1.3</v>
      </c>
      <c r="AR23" s="11">
        <v>187.73450290455395</v>
      </c>
      <c r="AS23" s="11">
        <v>4.7</v>
      </c>
      <c r="AT23" s="11">
        <v>190.7379520486293</v>
      </c>
      <c r="AU23" s="11">
        <v>2.9000000000000004</v>
      </c>
    </row>
    <row r="24" spans="1:47" x14ac:dyDescent="0.2">
      <c r="A24" s="6">
        <v>8</v>
      </c>
      <c r="E24" s="6">
        <v>1</v>
      </c>
      <c r="F24" s="13">
        <v>31.20494335736355</v>
      </c>
      <c r="G24" s="13">
        <v>30.208333333333329</v>
      </c>
      <c r="H24" s="13">
        <v>30.200633579725459</v>
      </c>
      <c r="I24" s="14">
        <f t="shared" si="2"/>
        <v>30.537970090140778</v>
      </c>
      <c r="J24" s="13">
        <v>0.33349404089816909</v>
      </c>
      <c r="K24" s="8">
        <v>0.19431477069187841</v>
      </c>
      <c r="L24" s="8">
        <v>0.19367709076157791</v>
      </c>
      <c r="M24" s="8">
        <v>0.19244863195019349</v>
      </c>
      <c r="N24" s="9">
        <f t="shared" si="0"/>
        <v>0.19348016446788327</v>
      </c>
      <c r="O24" s="6">
        <f t="shared" si="7"/>
        <v>5.4763230506900613E-4</v>
      </c>
      <c r="P24" s="10">
        <v>127.00274842372134</v>
      </c>
      <c r="Q24" s="11">
        <v>3.4000000000000004</v>
      </c>
      <c r="R24" s="13">
        <v>79.285188836882043</v>
      </c>
      <c r="S24" s="13">
        <v>0.43427926040253467</v>
      </c>
      <c r="T24" s="13">
        <v>62.888192002847333</v>
      </c>
      <c r="U24" s="13">
        <v>0.24722517684277329</v>
      </c>
      <c r="V24" s="13">
        <v>53.816871516136203</v>
      </c>
      <c r="W24" s="13">
        <v>0.36504019211969241</v>
      </c>
      <c r="X24" s="13">
        <v>49.16109123093711</v>
      </c>
      <c r="Y24" s="13">
        <v>0.35386284276614111</v>
      </c>
      <c r="Z24" s="13">
        <v>18.03367078727906</v>
      </c>
      <c r="AA24" s="13">
        <v>0.21505587492984571</v>
      </c>
      <c r="AB24" s="6">
        <v>75.002019366374284</v>
      </c>
      <c r="AC24" s="6">
        <v>2.983380937693707</v>
      </c>
      <c r="AD24" s="6">
        <v>49.334504882565149</v>
      </c>
      <c r="AE24" s="6">
        <v>0.31289191749860412</v>
      </c>
      <c r="AF24" s="13">
        <v>25.604406523800819</v>
      </c>
      <c r="AG24" s="13">
        <v>0.63357966903222496</v>
      </c>
      <c r="AH24" s="13">
        <v>66.85940228952235</v>
      </c>
      <c r="AI24" s="13">
        <v>0.44746669682001888</v>
      </c>
      <c r="AJ24" s="11">
        <v>77.966516492031474</v>
      </c>
      <c r="AK24" s="11">
        <v>4.3</v>
      </c>
      <c r="AL24" s="11">
        <v>94.31</v>
      </c>
      <c r="AM24" s="11">
        <v>2.73</v>
      </c>
      <c r="AN24" s="11">
        <v>149.18364608574467</v>
      </c>
      <c r="AO24" s="11">
        <v>3.9</v>
      </c>
      <c r="AP24" s="11">
        <v>171.83018109084321</v>
      </c>
      <c r="AQ24" s="11">
        <v>3.4000000000000004</v>
      </c>
      <c r="AR24" s="11">
        <v>208.32032633715366</v>
      </c>
      <c r="AS24" s="11">
        <v>6.3</v>
      </c>
      <c r="AT24" s="11">
        <v>205.56669653732936</v>
      </c>
      <c r="AU24" s="11">
        <v>0.8</v>
      </c>
    </row>
    <row r="25" spans="1:47" x14ac:dyDescent="0.2">
      <c r="A25" s="6">
        <v>8</v>
      </c>
      <c r="E25" s="6">
        <v>2</v>
      </c>
      <c r="F25" s="6"/>
      <c r="G25" s="6"/>
      <c r="H25" s="6"/>
      <c r="I25" s="7">
        <v>39.54</v>
      </c>
      <c r="J25" s="6">
        <v>0.6</v>
      </c>
      <c r="K25" s="8"/>
      <c r="L25" s="8"/>
      <c r="M25" s="8"/>
      <c r="N25" s="9"/>
      <c r="O25" s="6" t="e">
        <f t="shared" si="7"/>
        <v>#DIV/0!</v>
      </c>
      <c r="P25" s="10">
        <v>78.479705272864365</v>
      </c>
      <c r="Q25" s="11">
        <v>1.9878691509040269</v>
      </c>
      <c r="R25" s="6">
        <v>89.01</v>
      </c>
      <c r="S25" s="6">
        <v>1.04</v>
      </c>
      <c r="T25" s="6">
        <v>73.790000000000006</v>
      </c>
      <c r="U25" s="6">
        <v>0.8</v>
      </c>
      <c r="V25" s="6">
        <v>65.53</v>
      </c>
      <c r="W25" s="6">
        <v>0.74</v>
      </c>
      <c r="X25" s="6">
        <v>55.47</v>
      </c>
      <c r="Y25" s="6">
        <v>0.68</v>
      </c>
      <c r="Z25" s="6">
        <v>29.48</v>
      </c>
      <c r="AA25" s="6">
        <v>0.54</v>
      </c>
      <c r="AB25" s="6">
        <v>85.748919999999998</v>
      </c>
      <c r="AC25" s="6">
        <v>4.3434319945804312</v>
      </c>
      <c r="AD25" s="6">
        <v>48.722234007076928</v>
      </c>
      <c r="AE25" s="6">
        <v>1.54167771885102</v>
      </c>
      <c r="AF25" s="13">
        <v>49.374469848084317</v>
      </c>
      <c r="AG25" s="13">
        <v>3.7567248449090571</v>
      </c>
      <c r="AH25" s="13">
        <v>63.254594127744703</v>
      </c>
      <c r="AI25" s="13">
        <v>0.97314522188574415</v>
      </c>
      <c r="AJ25" s="6">
        <v>42.714841591664651</v>
      </c>
      <c r="AK25" s="11">
        <v>2.0262911908840828</v>
      </c>
      <c r="AL25" s="11">
        <v>54.7</v>
      </c>
      <c r="AM25" s="11">
        <v>1.7</v>
      </c>
      <c r="AN25" s="11">
        <v>88.812131823159248</v>
      </c>
      <c r="AO25" s="11">
        <v>2.1991194331312252</v>
      </c>
      <c r="AP25" s="11">
        <v>101.45493644942761</v>
      </c>
      <c r="AQ25" s="11">
        <v>1.9616705763556259</v>
      </c>
      <c r="AR25" s="11">
        <v>112.0039560638274</v>
      </c>
      <c r="AS25" s="11">
        <v>3.4426781563226529</v>
      </c>
      <c r="AT25" s="11">
        <v>115.382405481801</v>
      </c>
      <c r="AU25" s="11">
        <v>4.3263481501756882</v>
      </c>
    </row>
    <row r="26" spans="1:47" x14ac:dyDescent="0.2">
      <c r="A26" s="6">
        <v>8</v>
      </c>
      <c r="E26" s="6">
        <v>3</v>
      </c>
      <c r="F26" s="6"/>
      <c r="G26" s="6"/>
      <c r="H26" s="6"/>
      <c r="I26" s="7">
        <v>37.83</v>
      </c>
      <c r="J26" s="6">
        <v>1.01</v>
      </c>
      <c r="K26" s="8"/>
      <c r="L26" s="8"/>
      <c r="M26" s="8"/>
      <c r="N26" s="9"/>
      <c r="O26" s="6" t="e">
        <f t="shared" si="7"/>
        <v>#DIV/0!</v>
      </c>
      <c r="P26" s="10">
        <v>87.221998397605986</v>
      </c>
      <c r="Q26" s="11">
        <v>1.2603752358222811</v>
      </c>
      <c r="R26" s="6">
        <v>87.98</v>
      </c>
      <c r="S26" s="6">
        <v>0.96</v>
      </c>
      <c r="T26" s="6">
        <v>77.72</v>
      </c>
      <c r="U26" s="6">
        <v>1.38</v>
      </c>
      <c r="V26" s="6">
        <v>66.67</v>
      </c>
      <c r="W26" s="6">
        <v>1.46</v>
      </c>
      <c r="X26" s="6">
        <v>55.51</v>
      </c>
      <c r="Y26" s="6">
        <v>1.29</v>
      </c>
      <c r="Z26" s="6">
        <v>26.67</v>
      </c>
      <c r="AA26" s="6">
        <v>0.84</v>
      </c>
      <c r="AB26" s="6">
        <v>110.38968</v>
      </c>
      <c r="AC26" s="6">
        <v>4.6469177168615712</v>
      </c>
      <c r="AD26" s="6">
        <v>51.723938286304708</v>
      </c>
      <c r="AE26" s="6">
        <v>0.1030087882187284</v>
      </c>
      <c r="AF26" s="13">
        <v>60.731681009164738</v>
      </c>
      <c r="AG26" s="13">
        <v>4.6691533246835677</v>
      </c>
      <c r="AH26" s="13">
        <v>60.166219661340541</v>
      </c>
      <c r="AI26" s="13">
        <v>1.319433183635669</v>
      </c>
      <c r="AJ26" s="6">
        <v>49.475319201669919</v>
      </c>
      <c r="AK26" s="11">
        <v>3.5270628023764581</v>
      </c>
      <c r="AL26" s="11">
        <v>61.9</v>
      </c>
      <c r="AM26" s="11">
        <v>4.3</v>
      </c>
      <c r="AN26" s="11">
        <v>96.649868621546887</v>
      </c>
      <c r="AO26" s="11">
        <v>2.3346689324198739</v>
      </c>
      <c r="AP26" s="11">
        <v>113.84458496150781</v>
      </c>
      <c r="AQ26" s="11">
        <v>1.135970856435371</v>
      </c>
      <c r="AR26" s="11">
        <v>118.03760701509</v>
      </c>
      <c r="AS26" s="11">
        <v>3.171384684367847</v>
      </c>
      <c r="AT26" s="11">
        <v>129.85868551346641</v>
      </c>
      <c r="AU26" s="11">
        <v>1.942780602199172</v>
      </c>
    </row>
    <row r="27" spans="1:47" x14ac:dyDescent="0.2">
      <c r="I27" s="7"/>
      <c r="K27" s="8"/>
      <c r="L27" s="8"/>
      <c r="M27" s="8"/>
      <c r="N27" s="9"/>
      <c r="P27" s="15"/>
      <c r="AB27" s="6"/>
      <c r="AC27" s="6"/>
      <c r="AD27" s="6"/>
      <c r="AE27" s="6"/>
      <c r="AF27" s="6"/>
      <c r="AG27" s="6"/>
      <c r="AH27" s="6"/>
      <c r="AI27" s="6"/>
    </row>
    <row r="28" spans="1:47" x14ac:dyDescent="0.2">
      <c r="G28" s="6">
        <f>_xlfn.STDEV.S(F16:H16)/SQRT(3)</f>
        <v>1.4368522695268466</v>
      </c>
      <c r="I28" s="7"/>
      <c r="K28" s="8"/>
      <c r="L28" s="8"/>
      <c r="M28" s="8"/>
      <c r="N28" s="9"/>
      <c r="P28" s="15"/>
    </row>
    <row r="29" spans="1:47" x14ac:dyDescent="0.2">
      <c r="G29" s="6">
        <f>STDEV(F24:H24)/SQRT(3)</f>
        <v>0.33349404089816914</v>
      </c>
      <c r="I29" s="7"/>
      <c r="K29" s="8"/>
      <c r="L29" s="8"/>
      <c r="M29" s="8"/>
      <c r="N29" s="9"/>
      <c r="O29" s="6">
        <f>STDEV(K2:M2)/SQRT(3)</f>
        <v>2.6666666666666692E-3</v>
      </c>
      <c r="P29" s="15"/>
    </row>
    <row r="30" spans="1:47" x14ac:dyDescent="0.2">
      <c r="G30" s="6">
        <f>_xlfn.STDEV.S(F24:H24)/SQRT(3)</f>
        <v>0.33349404089816914</v>
      </c>
      <c r="I30" s="7"/>
      <c r="K30" s="8"/>
      <c r="L30" s="8"/>
      <c r="M30" s="8"/>
      <c r="N30" s="9"/>
      <c r="P30" s="15"/>
    </row>
    <row r="31" spans="1:47" x14ac:dyDescent="0.2">
      <c r="I31" s="7"/>
      <c r="K31" s="8"/>
      <c r="L31" s="8"/>
      <c r="M31" s="8"/>
      <c r="N31" s="9"/>
      <c r="P31" s="15"/>
    </row>
    <row r="32" spans="1:47" x14ac:dyDescent="0.2">
      <c r="I32" s="7"/>
      <c r="K32" s="8"/>
      <c r="L32" s="8"/>
      <c r="M32" s="8"/>
      <c r="N32" s="9"/>
      <c r="P32" s="15"/>
    </row>
    <row r="33" spans="9:16" x14ac:dyDescent="0.2">
      <c r="I33" s="7"/>
      <c r="K33" s="8"/>
      <c r="L33" s="8"/>
      <c r="M33" s="8"/>
      <c r="N33" s="9"/>
      <c r="P33" s="15"/>
    </row>
    <row r="34" spans="9:16" x14ac:dyDescent="0.2">
      <c r="I34" s="7"/>
      <c r="K34" s="8"/>
      <c r="L34" s="8"/>
      <c r="M34" s="8"/>
      <c r="N34" s="9"/>
      <c r="P34" s="15"/>
    </row>
    <row r="35" spans="9:16" x14ac:dyDescent="0.2">
      <c r="I35" s="7"/>
      <c r="K35" s="8"/>
      <c r="L35" s="8"/>
      <c r="M35" s="8"/>
      <c r="N35" s="9"/>
      <c r="P35" s="15"/>
    </row>
    <row r="36" spans="9:16" x14ac:dyDescent="0.2">
      <c r="I36" s="7"/>
      <c r="K36" s="8"/>
      <c r="L36" s="8"/>
      <c r="M36" s="8"/>
      <c r="N36" s="9"/>
      <c r="P36" s="15"/>
    </row>
    <row r="37" spans="9:16" x14ac:dyDescent="0.2">
      <c r="I37" s="7"/>
      <c r="K37" s="8"/>
      <c r="L37" s="8"/>
      <c r="M37" s="8"/>
      <c r="N37" s="9"/>
      <c r="P37" s="15"/>
    </row>
    <row r="38" spans="9:16" x14ac:dyDescent="0.2">
      <c r="I38" s="7"/>
      <c r="K38" s="8"/>
      <c r="L38" s="8"/>
      <c r="M38" s="8"/>
      <c r="N38" s="9"/>
      <c r="P38" s="15"/>
    </row>
    <row r="39" spans="9:16" x14ac:dyDescent="0.2">
      <c r="I39" s="7"/>
      <c r="K39" s="8"/>
      <c r="L39" s="8"/>
      <c r="M39" s="8"/>
      <c r="N39" s="9"/>
      <c r="P39" s="15"/>
    </row>
    <row r="40" spans="9:16" x14ac:dyDescent="0.2">
      <c r="I40" s="7"/>
      <c r="K40" s="8"/>
      <c r="L40" s="8"/>
      <c r="M40" s="8"/>
      <c r="N40" s="9"/>
      <c r="P40" s="15"/>
    </row>
    <row r="41" spans="9:16" x14ac:dyDescent="0.2">
      <c r="I41" s="7"/>
      <c r="K41" s="8"/>
      <c r="L41" s="8"/>
      <c r="M41" s="8"/>
      <c r="N41" s="9"/>
      <c r="P41" s="15"/>
    </row>
    <row r="42" spans="9:16" x14ac:dyDescent="0.2">
      <c r="I42" s="7"/>
      <c r="K42" s="8"/>
      <c r="L42" s="8"/>
      <c r="M42" s="8"/>
      <c r="N42" s="9"/>
      <c r="P42" s="15"/>
    </row>
    <row r="43" spans="9:16" x14ac:dyDescent="0.2">
      <c r="I43" s="7"/>
      <c r="K43" s="8"/>
      <c r="L43" s="8"/>
      <c r="M43" s="8"/>
      <c r="N43" s="9"/>
      <c r="P43" s="15"/>
    </row>
    <row r="44" spans="9:16" x14ac:dyDescent="0.2">
      <c r="I44" s="7"/>
      <c r="K44" s="8"/>
      <c r="L44" s="8"/>
      <c r="M44" s="8"/>
      <c r="N44" s="9"/>
      <c r="P44" s="15"/>
    </row>
    <row r="45" spans="9:16" x14ac:dyDescent="0.2">
      <c r="I45" s="7"/>
      <c r="K45" s="8"/>
      <c r="L45" s="8"/>
      <c r="M45" s="8"/>
      <c r="N45" s="9"/>
      <c r="P45" s="15"/>
    </row>
    <row r="46" spans="9:16" x14ac:dyDescent="0.2">
      <c r="I46" s="7"/>
      <c r="K46" s="8"/>
      <c r="L46" s="8"/>
      <c r="M46" s="8"/>
      <c r="N46" s="9"/>
      <c r="P46" s="15"/>
    </row>
    <row r="47" spans="9:16" x14ac:dyDescent="0.2">
      <c r="I47" s="7"/>
      <c r="K47" s="8"/>
      <c r="L47" s="8"/>
      <c r="M47" s="8"/>
      <c r="N47" s="9"/>
      <c r="P47" s="15"/>
    </row>
    <row r="48" spans="9:16" x14ac:dyDescent="0.2">
      <c r="I48" s="7"/>
      <c r="K48" s="8"/>
      <c r="L48" s="8"/>
      <c r="M48" s="8"/>
      <c r="N48" s="9"/>
      <c r="P48" s="15"/>
    </row>
    <row r="49" spans="9:16" x14ac:dyDescent="0.2">
      <c r="I49" s="7"/>
      <c r="K49" s="8"/>
      <c r="L49" s="8"/>
      <c r="M49" s="8"/>
      <c r="N49" s="9"/>
      <c r="P49" s="15"/>
    </row>
    <row r="50" spans="9:16" x14ac:dyDescent="0.2">
      <c r="I50" s="7"/>
      <c r="K50" s="8"/>
      <c r="L50" s="8"/>
      <c r="M50" s="8"/>
      <c r="N50" s="9"/>
      <c r="P50" s="15"/>
    </row>
    <row r="51" spans="9:16" x14ac:dyDescent="0.2">
      <c r="I51" s="7"/>
      <c r="K51" s="8"/>
      <c r="L51" s="8"/>
      <c r="M51" s="8"/>
      <c r="N51" s="9"/>
      <c r="P51" s="15"/>
    </row>
    <row r="52" spans="9:16" x14ac:dyDescent="0.2">
      <c r="I52" s="7"/>
      <c r="K52" s="8"/>
      <c r="L52" s="8"/>
      <c r="M52" s="8"/>
      <c r="N52" s="9"/>
      <c r="P52" s="15"/>
    </row>
    <row r="53" spans="9:16" x14ac:dyDescent="0.2">
      <c r="I53" s="7"/>
      <c r="K53" s="8"/>
      <c r="L53" s="8"/>
      <c r="M53" s="8"/>
      <c r="N53" s="9"/>
      <c r="P53" s="15"/>
    </row>
    <row r="54" spans="9:16" x14ac:dyDescent="0.2">
      <c r="I54" s="7"/>
      <c r="K54" s="8"/>
      <c r="L54" s="8"/>
      <c r="M54" s="8"/>
      <c r="N54" s="9"/>
      <c r="P54" s="15"/>
    </row>
    <row r="55" spans="9:16" x14ac:dyDescent="0.2">
      <c r="I55" s="7"/>
      <c r="K55" s="8"/>
      <c r="L55" s="8"/>
      <c r="M55" s="8"/>
      <c r="N55" s="9"/>
      <c r="P55" s="15"/>
    </row>
    <row r="56" spans="9:16" x14ac:dyDescent="0.2">
      <c r="I56" s="7"/>
      <c r="K56" s="8"/>
      <c r="L56" s="8"/>
      <c r="M56" s="8"/>
      <c r="N56" s="9"/>
      <c r="P56" s="15"/>
    </row>
    <row r="57" spans="9:16" x14ac:dyDescent="0.2">
      <c r="I57" s="7"/>
      <c r="K57" s="8"/>
      <c r="L57" s="8"/>
      <c r="M57" s="8"/>
      <c r="N57" s="9"/>
      <c r="P57" s="15"/>
    </row>
    <row r="58" spans="9:16" x14ac:dyDescent="0.2">
      <c r="I58" s="7"/>
      <c r="K58" s="8"/>
      <c r="L58" s="8"/>
      <c r="M58" s="8"/>
      <c r="N58" s="9"/>
      <c r="P58" s="15"/>
    </row>
    <row r="59" spans="9:16" x14ac:dyDescent="0.2">
      <c r="I59" s="7"/>
      <c r="K59" s="8"/>
      <c r="L59" s="8"/>
      <c r="M59" s="8"/>
      <c r="N59" s="9"/>
      <c r="P59" s="15"/>
    </row>
    <row r="60" spans="9:16" x14ac:dyDescent="0.2">
      <c r="I60" s="7"/>
      <c r="K60" s="8"/>
      <c r="L60" s="8"/>
      <c r="M60" s="8"/>
      <c r="N60" s="9"/>
      <c r="P60" s="15"/>
    </row>
    <row r="61" spans="9:16" x14ac:dyDescent="0.2">
      <c r="I61" s="7"/>
      <c r="K61" s="8"/>
      <c r="L61" s="8"/>
      <c r="M61" s="8"/>
      <c r="N61" s="9"/>
      <c r="P61" s="15"/>
    </row>
    <row r="62" spans="9:16" x14ac:dyDescent="0.2">
      <c r="I62" s="7"/>
      <c r="K62" s="8"/>
      <c r="L62" s="8"/>
      <c r="M62" s="8"/>
      <c r="N62" s="9"/>
      <c r="P62" s="15"/>
    </row>
    <row r="63" spans="9:16" x14ac:dyDescent="0.2">
      <c r="I63" s="7"/>
      <c r="K63" s="8"/>
      <c r="L63" s="8"/>
      <c r="M63" s="8"/>
      <c r="N63" s="9"/>
      <c r="P63" s="15"/>
    </row>
    <row r="64" spans="9:16" x14ac:dyDescent="0.2">
      <c r="I64" s="7"/>
      <c r="K64" s="8"/>
      <c r="L64" s="8"/>
      <c r="M64" s="8"/>
      <c r="N64" s="9"/>
      <c r="P64" s="15"/>
    </row>
    <row r="65" spans="9:16" x14ac:dyDescent="0.2">
      <c r="I65" s="7"/>
      <c r="K65" s="8"/>
      <c r="L65" s="8"/>
      <c r="M65" s="8"/>
      <c r="N65" s="9"/>
      <c r="P65" s="15"/>
    </row>
    <row r="66" spans="9:16" x14ac:dyDescent="0.2">
      <c r="I66" s="7"/>
      <c r="K66" s="8"/>
      <c r="L66" s="8"/>
      <c r="M66" s="8"/>
      <c r="N66" s="9"/>
      <c r="P66" s="15"/>
    </row>
    <row r="67" spans="9:16" x14ac:dyDescent="0.2">
      <c r="I67" s="7"/>
      <c r="K67" s="8"/>
      <c r="L67" s="8"/>
      <c r="M67" s="8"/>
      <c r="N67" s="9"/>
      <c r="P67" s="15"/>
    </row>
    <row r="68" spans="9:16" x14ac:dyDescent="0.2">
      <c r="I68" s="7"/>
      <c r="K68" s="8"/>
      <c r="L68" s="8"/>
      <c r="M68" s="8"/>
      <c r="N68" s="9"/>
      <c r="P68" s="15"/>
    </row>
    <row r="69" spans="9:16" x14ac:dyDescent="0.2">
      <c r="I69" s="7"/>
      <c r="K69" s="8"/>
      <c r="L69" s="8"/>
      <c r="M69" s="8"/>
      <c r="N69" s="9"/>
      <c r="P69" s="15"/>
    </row>
    <row r="70" spans="9:16" x14ac:dyDescent="0.2">
      <c r="I70" s="7"/>
      <c r="K70" s="8"/>
      <c r="L70" s="8"/>
      <c r="M70" s="8"/>
      <c r="N70" s="9"/>
      <c r="P70" s="15"/>
    </row>
    <row r="71" spans="9:16" x14ac:dyDescent="0.2">
      <c r="I71" s="7"/>
      <c r="K71" s="8"/>
      <c r="L71" s="8"/>
      <c r="M71" s="8"/>
      <c r="N71" s="9"/>
      <c r="P71" s="15"/>
    </row>
    <row r="72" spans="9:16" x14ac:dyDescent="0.2">
      <c r="I72" s="7"/>
      <c r="K72" s="8"/>
      <c r="L72" s="8"/>
      <c r="M72" s="8"/>
      <c r="N72" s="9"/>
      <c r="P72" s="15"/>
    </row>
    <row r="73" spans="9:16" x14ac:dyDescent="0.2">
      <c r="I73" s="7"/>
      <c r="K73" s="8"/>
      <c r="L73" s="8"/>
      <c r="M73" s="8"/>
      <c r="N73" s="9"/>
      <c r="P73" s="15"/>
    </row>
    <row r="74" spans="9:16" x14ac:dyDescent="0.2">
      <c r="I74" s="7"/>
      <c r="K74" s="8"/>
      <c r="L74" s="8"/>
      <c r="M74" s="8"/>
      <c r="N74" s="9"/>
      <c r="P74" s="15"/>
    </row>
    <row r="75" spans="9:16" x14ac:dyDescent="0.2">
      <c r="I75" s="7"/>
      <c r="K75" s="8"/>
      <c r="L75" s="8"/>
      <c r="M75" s="8"/>
      <c r="N75" s="9"/>
      <c r="P75" s="15"/>
    </row>
    <row r="76" spans="9:16" x14ac:dyDescent="0.2">
      <c r="I76" s="7"/>
      <c r="K76" s="8"/>
      <c r="L76" s="8"/>
      <c r="M76" s="8"/>
      <c r="N76" s="9"/>
      <c r="P76" s="15"/>
    </row>
    <row r="77" spans="9:16" x14ac:dyDescent="0.2">
      <c r="I77" s="7"/>
      <c r="K77" s="8"/>
      <c r="L77" s="8"/>
      <c r="M77" s="8"/>
      <c r="N77" s="9"/>
      <c r="P77" s="15"/>
    </row>
    <row r="78" spans="9:16" x14ac:dyDescent="0.2">
      <c r="I78" s="7"/>
      <c r="K78" s="8"/>
      <c r="L78" s="8"/>
      <c r="M78" s="8"/>
      <c r="N78" s="9"/>
      <c r="P78" s="15"/>
    </row>
    <row r="79" spans="9:16" x14ac:dyDescent="0.2">
      <c r="I79" s="7"/>
      <c r="K79" s="8"/>
      <c r="L79" s="8"/>
      <c r="M79" s="8"/>
      <c r="N79" s="9"/>
      <c r="P79" s="15"/>
    </row>
    <row r="80" spans="9:16" x14ac:dyDescent="0.2">
      <c r="I80" s="7"/>
      <c r="K80" s="8"/>
      <c r="L80" s="8"/>
      <c r="M80" s="8"/>
      <c r="N80" s="9"/>
      <c r="P80" s="15"/>
    </row>
    <row r="81" spans="9:16" x14ac:dyDescent="0.2">
      <c r="I81" s="7"/>
      <c r="K81" s="8"/>
      <c r="L81" s="8"/>
      <c r="M81" s="8"/>
      <c r="N81" s="9"/>
      <c r="P81" s="15"/>
    </row>
    <row r="82" spans="9:16" x14ac:dyDescent="0.2">
      <c r="I82" s="7"/>
      <c r="K82" s="8"/>
      <c r="L82" s="8"/>
      <c r="M82" s="8"/>
      <c r="N82" s="9"/>
      <c r="P82" s="15"/>
    </row>
    <row r="83" spans="9:16" x14ac:dyDescent="0.2">
      <c r="I83" s="7"/>
      <c r="K83" s="8"/>
      <c r="L83" s="8"/>
      <c r="M83" s="8"/>
      <c r="N83" s="9"/>
      <c r="P83" s="15"/>
    </row>
    <row r="84" spans="9:16" x14ac:dyDescent="0.2">
      <c r="I84" s="7"/>
      <c r="K84" s="8"/>
      <c r="L84" s="8"/>
      <c r="M84" s="8"/>
      <c r="N84" s="9"/>
      <c r="P84" s="15"/>
    </row>
    <row r="85" spans="9:16" x14ac:dyDescent="0.2">
      <c r="I85" s="7"/>
      <c r="K85" s="8"/>
      <c r="L85" s="8"/>
      <c r="M85" s="8"/>
      <c r="N85" s="9"/>
      <c r="P85" s="15"/>
    </row>
    <row r="86" spans="9:16" x14ac:dyDescent="0.2">
      <c r="I86" s="7"/>
      <c r="K86" s="8"/>
      <c r="L86" s="8"/>
      <c r="M86" s="8"/>
      <c r="N86" s="9"/>
      <c r="P86" s="15"/>
    </row>
    <row r="87" spans="9:16" x14ac:dyDescent="0.2">
      <c r="I87" s="7"/>
      <c r="K87" s="8"/>
      <c r="L87" s="8"/>
      <c r="M87" s="8"/>
      <c r="N87" s="9"/>
      <c r="P87" s="15"/>
    </row>
    <row r="88" spans="9:16" x14ac:dyDescent="0.2">
      <c r="I88" s="7"/>
      <c r="K88" s="8"/>
      <c r="L88" s="8"/>
      <c r="M88" s="8"/>
      <c r="N88" s="9"/>
      <c r="P88" s="15"/>
    </row>
    <row r="89" spans="9:16" x14ac:dyDescent="0.2">
      <c r="I89" s="7"/>
      <c r="K89" s="8"/>
      <c r="L89" s="8"/>
      <c r="M89" s="8"/>
      <c r="N89" s="9"/>
      <c r="P89" s="15"/>
    </row>
    <row r="90" spans="9:16" x14ac:dyDescent="0.2">
      <c r="I90" s="7"/>
      <c r="K90" s="8"/>
      <c r="L90" s="8"/>
      <c r="M90" s="8"/>
      <c r="N90" s="9"/>
      <c r="P90" s="15"/>
    </row>
    <row r="91" spans="9:16" x14ac:dyDescent="0.2">
      <c r="I91" s="7"/>
      <c r="K91" s="8"/>
      <c r="L91" s="8"/>
      <c r="M91" s="8"/>
      <c r="N91" s="9"/>
      <c r="P91" s="15"/>
    </row>
    <row r="92" spans="9:16" x14ac:dyDescent="0.2">
      <c r="I92" s="7"/>
      <c r="K92" s="8"/>
      <c r="L92" s="8"/>
      <c r="M92" s="8"/>
      <c r="N92" s="9"/>
      <c r="P92" s="15"/>
    </row>
    <row r="93" spans="9:16" x14ac:dyDescent="0.2">
      <c r="I93" s="7"/>
      <c r="K93" s="8"/>
      <c r="L93" s="8"/>
      <c r="M93" s="8"/>
      <c r="N93" s="9"/>
      <c r="P93" s="15"/>
    </row>
    <row r="94" spans="9:16" x14ac:dyDescent="0.2">
      <c r="I94" s="7"/>
      <c r="K94" s="8"/>
      <c r="L94" s="8"/>
      <c r="M94" s="8"/>
      <c r="N94" s="9"/>
      <c r="P94" s="15"/>
    </row>
    <row r="95" spans="9:16" x14ac:dyDescent="0.2">
      <c r="I95" s="7"/>
      <c r="K95" s="8"/>
      <c r="L95" s="8"/>
      <c r="M95" s="8"/>
      <c r="N95" s="9"/>
      <c r="P95" s="15"/>
    </row>
    <row r="96" spans="9:16" x14ac:dyDescent="0.2">
      <c r="I96" s="7"/>
      <c r="K96" s="8"/>
      <c r="L96" s="8"/>
      <c r="M96" s="8"/>
      <c r="N96" s="9"/>
      <c r="P96" s="15"/>
    </row>
    <row r="97" spans="9:16" x14ac:dyDescent="0.2">
      <c r="I97" s="7"/>
      <c r="K97" s="8"/>
      <c r="L97" s="8"/>
      <c r="M97" s="8"/>
      <c r="N97" s="9"/>
      <c r="P97" s="15"/>
    </row>
    <row r="98" spans="9:16" x14ac:dyDescent="0.2">
      <c r="I98" s="7"/>
      <c r="K98" s="8"/>
      <c r="L98" s="8"/>
      <c r="M98" s="8"/>
      <c r="N98" s="9"/>
      <c r="P98" s="15"/>
    </row>
    <row r="99" spans="9:16" x14ac:dyDescent="0.2">
      <c r="I99" s="7"/>
      <c r="K99" s="8"/>
      <c r="L99" s="8"/>
      <c r="M99" s="8"/>
      <c r="N99" s="9"/>
      <c r="P99" s="15"/>
    </row>
    <row r="100" spans="9:16" x14ac:dyDescent="0.2">
      <c r="I100" s="7"/>
      <c r="K100" s="8"/>
      <c r="L100" s="8"/>
      <c r="M100" s="8"/>
      <c r="N100" s="9"/>
      <c r="P100" s="15"/>
    </row>
    <row r="101" spans="9:16" x14ac:dyDescent="0.2">
      <c r="I101" s="7"/>
      <c r="K101" s="8"/>
      <c r="L101" s="8"/>
      <c r="M101" s="8"/>
      <c r="N101" s="9"/>
      <c r="P101" s="15"/>
    </row>
    <row r="102" spans="9:16" x14ac:dyDescent="0.2">
      <c r="I102" s="7"/>
      <c r="K102" s="8"/>
      <c r="L102" s="8"/>
      <c r="M102" s="8"/>
      <c r="N102" s="9"/>
      <c r="P102" s="15"/>
    </row>
    <row r="103" spans="9:16" x14ac:dyDescent="0.2">
      <c r="I103" s="7"/>
      <c r="K103" s="8"/>
      <c r="L103" s="8"/>
      <c r="M103" s="8"/>
      <c r="N103" s="9"/>
      <c r="P103" s="15"/>
    </row>
    <row r="104" spans="9:16" x14ac:dyDescent="0.2">
      <c r="I104" s="7"/>
      <c r="K104" s="8"/>
      <c r="L104" s="8"/>
      <c r="M104" s="8"/>
      <c r="N104" s="9"/>
      <c r="P104" s="15"/>
    </row>
    <row r="105" spans="9:16" x14ac:dyDescent="0.2">
      <c r="I105" s="7"/>
      <c r="K105" s="8"/>
      <c r="L105" s="8"/>
      <c r="M105" s="8"/>
      <c r="N105" s="9"/>
      <c r="P105" s="15"/>
    </row>
    <row r="106" spans="9:16" x14ac:dyDescent="0.2">
      <c r="I106" s="7"/>
      <c r="K106" s="8"/>
      <c r="L106" s="8"/>
      <c r="M106" s="8"/>
      <c r="N106" s="9"/>
      <c r="P106" s="15"/>
    </row>
    <row r="107" spans="9:16" x14ac:dyDescent="0.2">
      <c r="I107" s="7"/>
      <c r="K107" s="8"/>
      <c r="L107" s="8"/>
      <c r="M107" s="8"/>
      <c r="N107" s="9"/>
      <c r="P107" s="15"/>
    </row>
    <row r="108" spans="9:16" x14ac:dyDescent="0.2">
      <c r="I108" s="7"/>
      <c r="K108" s="8"/>
      <c r="L108" s="8"/>
      <c r="M108" s="8"/>
      <c r="N108" s="9"/>
      <c r="P108" s="15"/>
    </row>
    <row r="109" spans="9:16" x14ac:dyDescent="0.2">
      <c r="I109" s="7"/>
      <c r="K109" s="8"/>
      <c r="L109" s="8"/>
      <c r="M109" s="8"/>
      <c r="N109" s="9"/>
      <c r="P109" s="15"/>
    </row>
    <row r="110" spans="9:16" x14ac:dyDescent="0.2">
      <c r="I110" s="7"/>
      <c r="K110" s="8"/>
      <c r="L110" s="8"/>
      <c r="M110" s="8"/>
      <c r="N110" s="9"/>
      <c r="P110" s="15"/>
    </row>
    <row r="111" spans="9:16" x14ac:dyDescent="0.2">
      <c r="I111" s="7"/>
      <c r="K111" s="8"/>
      <c r="L111" s="8"/>
      <c r="M111" s="8"/>
      <c r="N111" s="9"/>
      <c r="P111" s="15"/>
    </row>
    <row r="112" spans="9:16" x14ac:dyDescent="0.2">
      <c r="I112" s="7"/>
      <c r="K112" s="8"/>
      <c r="L112" s="8"/>
      <c r="M112" s="8"/>
      <c r="N112" s="9"/>
      <c r="P112" s="15"/>
    </row>
    <row r="113" spans="9:16" x14ac:dyDescent="0.2">
      <c r="I113" s="7"/>
      <c r="K113" s="8"/>
      <c r="L113" s="8"/>
      <c r="M113" s="8"/>
      <c r="N113" s="9"/>
      <c r="P113" s="15"/>
    </row>
    <row r="114" spans="9:16" x14ac:dyDescent="0.2">
      <c r="I114" s="7"/>
      <c r="K114" s="8"/>
      <c r="L114" s="8"/>
      <c r="M114" s="8"/>
      <c r="N114" s="9"/>
      <c r="P114" s="15"/>
    </row>
    <row r="115" spans="9:16" x14ac:dyDescent="0.2">
      <c r="I115" s="7"/>
      <c r="K115" s="8"/>
      <c r="L115" s="8"/>
      <c r="M115" s="8"/>
      <c r="N115" s="9"/>
      <c r="P115" s="15"/>
    </row>
    <row r="116" spans="9:16" x14ac:dyDescent="0.2">
      <c r="I116" s="7"/>
      <c r="K116" s="8"/>
      <c r="L116" s="8"/>
      <c r="M116" s="8"/>
      <c r="N116" s="9"/>
      <c r="P116" s="15"/>
    </row>
    <row r="117" spans="9:16" x14ac:dyDescent="0.2">
      <c r="I117" s="7"/>
      <c r="K117" s="8"/>
      <c r="L117" s="8"/>
      <c r="M117" s="8"/>
      <c r="N117" s="9"/>
      <c r="P117" s="15"/>
    </row>
    <row r="118" spans="9:16" x14ac:dyDescent="0.2">
      <c r="I118" s="7"/>
      <c r="K118" s="8"/>
      <c r="L118" s="8"/>
      <c r="M118" s="8"/>
      <c r="N118" s="9"/>
      <c r="P118" s="15"/>
    </row>
    <row r="119" spans="9:16" x14ac:dyDescent="0.2">
      <c r="I119" s="7"/>
      <c r="K119" s="8"/>
      <c r="L119" s="8"/>
      <c r="M119" s="8"/>
      <c r="N119" s="9"/>
      <c r="P119" s="15"/>
    </row>
    <row r="120" spans="9:16" x14ac:dyDescent="0.2">
      <c r="I120" s="7"/>
      <c r="K120" s="8"/>
      <c r="L120" s="8"/>
      <c r="M120" s="8"/>
      <c r="N120" s="9"/>
      <c r="P120" s="15"/>
    </row>
    <row r="121" spans="9:16" x14ac:dyDescent="0.2">
      <c r="I121" s="7"/>
      <c r="K121" s="8"/>
      <c r="L121" s="8"/>
      <c r="M121" s="8"/>
      <c r="N121" s="9"/>
      <c r="P121" s="15"/>
    </row>
    <row r="122" spans="9:16" x14ac:dyDescent="0.2">
      <c r="I122" s="7"/>
      <c r="K122" s="8"/>
      <c r="L122" s="8"/>
      <c r="M122" s="8"/>
      <c r="N122" s="9"/>
      <c r="P122" s="15"/>
    </row>
    <row r="123" spans="9:16" x14ac:dyDescent="0.2">
      <c r="I123" s="7"/>
      <c r="K123" s="8"/>
      <c r="L123" s="8"/>
      <c r="M123" s="8"/>
      <c r="N123" s="9"/>
      <c r="P123" s="15"/>
    </row>
    <row r="124" spans="9:16" x14ac:dyDescent="0.2">
      <c r="I124" s="7"/>
      <c r="K124" s="8"/>
      <c r="L124" s="8"/>
      <c r="M124" s="8"/>
      <c r="N124" s="9"/>
      <c r="P124" s="15"/>
    </row>
    <row r="125" spans="9:16" x14ac:dyDescent="0.2">
      <c r="I125" s="7"/>
      <c r="K125" s="8"/>
      <c r="L125" s="8"/>
      <c r="M125" s="8"/>
      <c r="N125" s="9"/>
      <c r="P125" s="15"/>
    </row>
    <row r="126" spans="9:16" x14ac:dyDescent="0.2">
      <c r="I126" s="7"/>
      <c r="K126" s="8"/>
      <c r="L126" s="8"/>
      <c r="M126" s="8"/>
      <c r="N126" s="9"/>
      <c r="P126" s="15"/>
    </row>
    <row r="127" spans="9:16" x14ac:dyDescent="0.2">
      <c r="I127" s="7"/>
      <c r="K127" s="8"/>
      <c r="L127" s="8"/>
      <c r="M127" s="8"/>
      <c r="N127" s="9"/>
      <c r="P127" s="15"/>
    </row>
    <row r="128" spans="9:16" x14ac:dyDescent="0.2">
      <c r="I128" s="7"/>
      <c r="K128" s="8"/>
      <c r="L128" s="8"/>
      <c r="M128" s="8"/>
      <c r="N128" s="9"/>
      <c r="P128" s="15"/>
    </row>
    <row r="129" spans="9:16" x14ac:dyDescent="0.2">
      <c r="I129" s="7"/>
      <c r="K129" s="8"/>
      <c r="L129" s="8"/>
      <c r="M129" s="8"/>
      <c r="N129" s="9"/>
      <c r="P129" s="15"/>
    </row>
    <row r="130" spans="9:16" x14ac:dyDescent="0.2">
      <c r="I130" s="7"/>
      <c r="K130" s="8"/>
      <c r="L130" s="8"/>
      <c r="M130" s="8"/>
      <c r="N130" s="9"/>
      <c r="P130" s="15"/>
    </row>
    <row r="131" spans="9:16" x14ac:dyDescent="0.2">
      <c r="I131" s="7"/>
      <c r="K131" s="8"/>
      <c r="L131" s="8"/>
      <c r="M131" s="8"/>
      <c r="N131" s="9"/>
      <c r="P131" s="15"/>
    </row>
    <row r="132" spans="9:16" x14ac:dyDescent="0.2">
      <c r="I132" s="7"/>
      <c r="K132" s="8"/>
      <c r="L132" s="8"/>
      <c r="M132" s="8"/>
      <c r="N132" s="9"/>
      <c r="P132" s="15"/>
    </row>
    <row r="133" spans="9:16" x14ac:dyDescent="0.2">
      <c r="I133" s="7"/>
      <c r="K133" s="8"/>
      <c r="L133" s="8"/>
      <c r="M133" s="8"/>
      <c r="N133" s="9"/>
      <c r="P133" s="15"/>
    </row>
    <row r="134" spans="9:16" x14ac:dyDescent="0.2">
      <c r="I134" s="7"/>
      <c r="K134" s="8"/>
      <c r="L134" s="8"/>
      <c r="M134" s="8"/>
      <c r="N134" s="9"/>
      <c r="P134" s="15"/>
    </row>
    <row r="135" spans="9:16" x14ac:dyDescent="0.2">
      <c r="I135" s="7"/>
      <c r="K135" s="8"/>
      <c r="L135" s="8"/>
      <c r="M135" s="8"/>
      <c r="N135" s="9"/>
      <c r="P135" s="15"/>
    </row>
    <row r="136" spans="9:16" x14ac:dyDescent="0.2">
      <c r="I136" s="7"/>
      <c r="K136" s="8"/>
      <c r="L136" s="8"/>
      <c r="M136" s="8"/>
      <c r="N136" s="9"/>
      <c r="P136" s="15"/>
    </row>
    <row r="137" spans="9:16" x14ac:dyDescent="0.2">
      <c r="I137" s="7"/>
      <c r="K137" s="8"/>
      <c r="L137" s="8"/>
      <c r="M137" s="8"/>
      <c r="N137" s="9"/>
      <c r="P137" s="15"/>
    </row>
    <row r="138" spans="9:16" x14ac:dyDescent="0.2">
      <c r="I138" s="7"/>
      <c r="K138" s="8"/>
      <c r="L138" s="8"/>
      <c r="M138" s="8"/>
      <c r="N138" s="9"/>
      <c r="P138" s="15"/>
    </row>
    <row r="139" spans="9:16" x14ac:dyDescent="0.2">
      <c r="I139" s="7"/>
      <c r="K139" s="8"/>
      <c r="L139" s="8"/>
      <c r="M139" s="8"/>
      <c r="N139" s="9"/>
      <c r="P139" s="15"/>
    </row>
    <row r="140" spans="9:16" x14ac:dyDescent="0.2">
      <c r="I140" s="7"/>
      <c r="K140" s="8"/>
      <c r="L140" s="8"/>
      <c r="M140" s="8"/>
      <c r="N140" s="9"/>
      <c r="P140" s="15"/>
    </row>
    <row r="141" spans="9:16" x14ac:dyDescent="0.2">
      <c r="I141" s="7"/>
      <c r="K141" s="8"/>
      <c r="L141" s="8"/>
      <c r="M141" s="8"/>
      <c r="N141" s="9"/>
      <c r="P141" s="15"/>
    </row>
    <row r="142" spans="9:16" x14ac:dyDescent="0.2">
      <c r="I142" s="7"/>
      <c r="K142" s="8"/>
      <c r="L142" s="8"/>
      <c r="M142" s="8"/>
      <c r="N142" s="9"/>
      <c r="P142" s="15"/>
    </row>
    <row r="143" spans="9:16" x14ac:dyDescent="0.2">
      <c r="I143" s="7"/>
      <c r="K143" s="8"/>
      <c r="L143" s="8"/>
      <c r="M143" s="8"/>
      <c r="N143" s="9"/>
      <c r="P143" s="15"/>
    </row>
    <row r="144" spans="9:16" x14ac:dyDescent="0.2">
      <c r="I144" s="7"/>
      <c r="K144" s="8"/>
      <c r="L144" s="8"/>
      <c r="M144" s="8"/>
      <c r="N144" s="9"/>
      <c r="P144" s="15"/>
    </row>
    <row r="145" spans="9:16" x14ac:dyDescent="0.2">
      <c r="I145" s="7"/>
      <c r="K145" s="8"/>
      <c r="L145" s="8"/>
      <c r="M145" s="8"/>
      <c r="N145" s="9"/>
      <c r="P145" s="15"/>
    </row>
    <row r="146" spans="9:16" x14ac:dyDescent="0.2">
      <c r="I146" s="7"/>
      <c r="K146" s="8"/>
      <c r="L146" s="8"/>
      <c r="M146" s="8"/>
      <c r="N146" s="9"/>
      <c r="P146" s="15"/>
    </row>
    <row r="147" spans="9:16" x14ac:dyDescent="0.2">
      <c r="I147" s="7"/>
      <c r="K147" s="8"/>
      <c r="L147" s="8"/>
      <c r="M147" s="8"/>
      <c r="N147" s="9"/>
      <c r="P147" s="15"/>
    </row>
    <row r="148" spans="9:16" x14ac:dyDescent="0.2">
      <c r="I148" s="7"/>
      <c r="K148" s="8"/>
      <c r="L148" s="8"/>
      <c r="M148" s="8"/>
      <c r="N148" s="9"/>
      <c r="P148" s="15"/>
    </row>
    <row r="149" spans="9:16" x14ac:dyDescent="0.2">
      <c r="I149" s="7"/>
      <c r="K149" s="8"/>
      <c r="L149" s="8"/>
      <c r="M149" s="8"/>
      <c r="N149" s="9"/>
      <c r="P149" s="15"/>
    </row>
    <row r="150" spans="9:16" x14ac:dyDescent="0.2">
      <c r="I150" s="7"/>
      <c r="K150" s="8"/>
      <c r="L150" s="8"/>
      <c r="M150" s="8"/>
      <c r="N150" s="9"/>
      <c r="P150" s="15"/>
    </row>
    <row r="151" spans="9:16" x14ac:dyDescent="0.2">
      <c r="I151" s="7"/>
      <c r="K151" s="8"/>
      <c r="L151" s="8"/>
      <c r="M151" s="8"/>
      <c r="N151" s="9"/>
      <c r="P151" s="15"/>
    </row>
    <row r="152" spans="9:16" x14ac:dyDescent="0.2">
      <c r="I152" s="7"/>
      <c r="K152" s="8"/>
      <c r="L152" s="8"/>
      <c r="M152" s="8"/>
      <c r="N152" s="9"/>
      <c r="P152" s="15"/>
    </row>
    <row r="153" spans="9:16" x14ac:dyDescent="0.2">
      <c r="I153" s="7"/>
      <c r="K153" s="8"/>
      <c r="L153" s="8"/>
      <c r="M153" s="8"/>
      <c r="N153" s="9"/>
      <c r="P153" s="15"/>
    </row>
    <row r="154" spans="9:16" x14ac:dyDescent="0.2">
      <c r="I154" s="7"/>
      <c r="K154" s="8"/>
      <c r="L154" s="8"/>
      <c r="M154" s="8"/>
      <c r="N154" s="9"/>
      <c r="P154" s="15"/>
    </row>
    <row r="155" spans="9:16" x14ac:dyDescent="0.2">
      <c r="I155" s="7"/>
      <c r="K155" s="8"/>
      <c r="L155" s="8"/>
      <c r="M155" s="8"/>
      <c r="N155" s="9"/>
      <c r="P155" s="15"/>
    </row>
    <row r="156" spans="9:16" x14ac:dyDescent="0.2">
      <c r="I156" s="7"/>
      <c r="K156" s="8"/>
      <c r="L156" s="8"/>
      <c r="M156" s="8"/>
      <c r="N156" s="9"/>
      <c r="P156" s="15"/>
    </row>
    <row r="157" spans="9:16" x14ac:dyDescent="0.2">
      <c r="I157" s="7"/>
      <c r="K157" s="8"/>
      <c r="L157" s="8"/>
      <c r="M157" s="8"/>
      <c r="N157" s="9"/>
      <c r="P157" s="15"/>
    </row>
    <row r="158" spans="9:16" x14ac:dyDescent="0.2">
      <c r="I158" s="7"/>
      <c r="K158" s="8"/>
      <c r="L158" s="8"/>
      <c r="M158" s="8"/>
      <c r="N158" s="9"/>
      <c r="P158" s="15"/>
    </row>
    <row r="159" spans="9:16" x14ac:dyDescent="0.2">
      <c r="I159" s="7"/>
      <c r="K159" s="8"/>
      <c r="L159" s="8"/>
      <c r="M159" s="8"/>
      <c r="N159" s="9"/>
      <c r="P159" s="15"/>
    </row>
    <row r="160" spans="9:16" x14ac:dyDescent="0.2">
      <c r="I160" s="7"/>
      <c r="K160" s="8"/>
      <c r="L160" s="8"/>
      <c r="M160" s="8"/>
      <c r="N160" s="9"/>
      <c r="P160" s="15"/>
    </row>
    <row r="161" spans="9:16" x14ac:dyDescent="0.2">
      <c r="I161" s="7"/>
      <c r="K161" s="8"/>
      <c r="L161" s="8"/>
      <c r="M161" s="8"/>
      <c r="N161" s="9"/>
      <c r="P161" s="15"/>
    </row>
    <row r="162" spans="9:16" x14ac:dyDescent="0.2">
      <c r="I162" s="7"/>
      <c r="K162" s="8"/>
      <c r="L162" s="8"/>
      <c r="M162" s="8"/>
      <c r="N162" s="9"/>
      <c r="P162" s="15"/>
    </row>
    <row r="163" spans="9:16" x14ac:dyDescent="0.2">
      <c r="I163" s="7"/>
      <c r="K163" s="8"/>
      <c r="L163" s="8"/>
      <c r="M163" s="8"/>
      <c r="N163" s="9"/>
      <c r="P163" s="15"/>
    </row>
    <row r="164" spans="9:16" x14ac:dyDescent="0.2">
      <c r="I164" s="7"/>
      <c r="K164" s="8"/>
      <c r="L164" s="8"/>
      <c r="M164" s="8"/>
      <c r="N164" s="9"/>
      <c r="P164" s="15"/>
    </row>
    <row r="165" spans="9:16" x14ac:dyDescent="0.2">
      <c r="I165" s="7"/>
      <c r="K165" s="8"/>
      <c r="L165" s="8"/>
      <c r="M165" s="8"/>
      <c r="N165" s="9"/>
      <c r="P165" s="15"/>
    </row>
    <row r="166" spans="9:16" x14ac:dyDescent="0.2">
      <c r="I166" s="7"/>
      <c r="K166" s="8"/>
      <c r="L166" s="8"/>
      <c r="M166" s="8"/>
      <c r="N166" s="9"/>
      <c r="P166" s="15"/>
    </row>
    <row r="167" spans="9:16" x14ac:dyDescent="0.2">
      <c r="I167" s="7"/>
      <c r="K167" s="8"/>
      <c r="L167" s="8"/>
      <c r="M167" s="8"/>
      <c r="N167" s="9"/>
      <c r="P167" s="15"/>
    </row>
    <row r="168" spans="9:16" x14ac:dyDescent="0.2">
      <c r="I168" s="7"/>
      <c r="K168" s="8"/>
      <c r="L168" s="8"/>
      <c r="M168" s="8"/>
      <c r="N168" s="9"/>
      <c r="P168" s="15"/>
    </row>
    <row r="169" spans="9:16" x14ac:dyDescent="0.2">
      <c r="I169" s="7"/>
      <c r="K169" s="8"/>
      <c r="L169" s="8"/>
      <c r="M169" s="8"/>
      <c r="N169" s="9"/>
      <c r="P169" s="15"/>
    </row>
    <row r="170" spans="9:16" x14ac:dyDescent="0.2">
      <c r="I170" s="7"/>
      <c r="K170" s="8"/>
      <c r="L170" s="8"/>
      <c r="M170" s="8"/>
      <c r="N170" s="9"/>
      <c r="P170" s="15"/>
    </row>
    <row r="171" spans="9:16" x14ac:dyDescent="0.2">
      <c r="I171" s="7"/>
      <c r="K171" s="8"/>
      <c r="L171" s="8"/>
      <c r="M171" s="8"/>
      <c r="N171" s="9"/>
      <c r="P171" s="15"/>
    </row>
    <row r="172" spans="9:16" x14ac:dyDescent="0.2">
      <c r="I172" s="7"/>
      <c r="K172" s="8"/>
      <c r="L172" s="8"/>
      <c r="M172" s="8"/>
      <c r="N172" s="9"/>
      <c r="P172" s="15"/>
    </row>
    <row r="173" spans="9:16" x14ac:dyDescent="0.2">
      <c r="I173" s="7"/>
      <c r="K173" s="8"/>
      <c r="L173" s="8"/>
      <c r="M173" s="8"/>
      <c r="N173" s="9"/>
      <c r="P173" s="15"/>
    </row>
    <row r="174" spans="9:16" x14ac:dyDescent="0.2">
      <c r="I174" s="7"/>
      <c r="K174" s="8"/>
      <c r="L174" s="8"/>
      <c r="M174" s="8"/>
      <c r="N174" s="9"/>
      <c r="P174" s="15"/>
    </row>
    <row r="175" spans="9:16" x14ac:dyDescent="0.2">
      <c r="I175" s="7"/>
      <c r="K175" s="8"/>
      <c r="L175" s="8"/>
      <c r="M175" s="8"/>
      <c r="N175" s="9"/>
      <c r="P175" s="15"/>
    </row>
    <row r="176" spans="9:16" x14ac:dyDescent="0.2">
      <c r="I176" s="7"/>
      <c r="K176" s="8"/>
      <c r="L176" s="8"/>
      <c r="M176" s="8"/>
      <c r="N176" s="9"/>
      <c r="P176" s="15"/>
    </row>
    <row r="177" spans="9:16" x14ac:dyDescent="0.2">
      <c r="I177" s="7"/>
      <c r="K177" s="8"/>
      <c r="L177" s="8"/>
      <c r="M177" s="8"/>
      <c r="N177" s="9"/>
      <c r="P177" s="15"/>
    </row>
    <row r="178" spans="9:16" x14ac:dyDescent="0.2">
      <c r="I178" s="7"/>
      <c r="K178" s="8"/>
      <c r="L178" s="8"/>
      <c r="M178" s="8"/>
      <c r="N178" s="9"/>
      <c r="P178" s="15"/>
    </row>
    <row r="179" spans="9:16" x14ac:dyDescent="0.2">
      <c r="I179" s="7"/>
      <c r="K179" s="8"/>
      <c r="L179" s="8"/>
      <c r="M179" s="8"/>
      <c r="N179" s="9"/>
      <c r="P179" s="15"/>
    </row>
    <row r="180" spans="9:16" x14ac:dyDescent="0.2">
      <c r="I180" s="7"/>
      <c r="K180" s="8"/>
      <c r="L180" s="8"/>
      <c r="M180" s="8"/>
      <c r="N180" s="9"/>
      <c r="P180" s="15"/>
    </row>
    <row r="181" spans="9:16" x14ac:dyDescent="0.2">
      <c r="I181" s="7"/>
      <c r="K181" s="8"/>
      <c r="L181" s="8"/>
      <c r="M181" s="8"/>
      <c r="N181" s="9"/>
      <c r="P181" s="15"/>
    </row>
    <row r="182" spans="9:16" x14ac:dyDescent="0.2">
      <c r="I182" s="7"/>
      <c r="K182" s="8"/>
      <c r="L182" s="8"/>
      <c r="M182" s="8"/>
      <c r="N182" s="9"/>
      <c r="P182" s="15"/>
    </row>
    <row r="183" spans="9:16" x14ac:dyDescent="0.2">
      <c r="I183" s="7"/>
      <c r="K183" s="8"/>
      <c r="L183" s="8"/>
      <c r="M183" s="8"/>
      <c r="N183" s="9"/>
      <c r="P183" s="15"/>
    </row>
    <row r="184" spans="9:16" x14ac:dyDescent="0.2">
      <c r="I184" s="7"/>
      <c r="K184" s="8"/>
      <c r="L184" s="8"/>
      <c r="M184" s="8"/>
      <c r="N184" s="9"/>
      <c r="P184" s="15"/>
    </row>
    <row r="185" spans="9:16" x14ac:dyDescent="0.2">
      <c r="I185" s="7"/>
      <c r="K185" s="8"/>
      <c r="L185" s="8"/>
      <c r="M185" s="8"/>
      <c r="N185" s="9"/>
      <c r="P185" s="15"/>
    </row>
    <row r="186" spans="9:16" x14ac:dyDescent="0.2">
      <c r="I186" s="7"/>
      <c r="K186" s="8"/>
      <c r="L186" s="8"/>
      <c r="M186" s="8"/>
      <c r="N186" s="9"/>
      <c r="P186" s="15"/>
    </row>
    <row r="187" spans="9:16" x14ac:dyDescent="0.2">
      <c r="I187" s="7"/>
      <c r="K187" s="8"/>
      <c r="L187" s="8"/>
      <c r="M187" s="8"/>
      <c r="N187" s="9"/>
      <c r="P187" s="15"/>
    </row>
    <row r="188" spans="9:16" x14ac:dyDescent="0.2">
      <c r="I188" s="7"/>
      <c r="K188" s="8"/>
      <c r="L188" s="8"/>
      <c r="M188" s="8"/>
      <c r="N188" s="9"/>
      <c r="P188" s="15"/>
    </row>
    <row r="189" spans="9:16" x14ac:dyDescent="0.2">
      <c r="I189" s="7"/>
      <c r="K189" s="8"/>
      <c r="L189" s="8"/>
      <c r="M189" s="8"/>
      <c r="N189" s="9"/>
      <c r="P189" s="15"/>
    </row>
    <row r="190" spans="9:16" x14ac:dyDescent="0.2">
      <c r="I190" s="7"/>
      <c r="K190" s="8"/>
      <c r="L190" s="8"/>
      <c r="M190" s="8"/>
      <c r="N190" s="9"/>
      <c r="P190" s="15"/>
    </row>
    <row r="191" spans="9:16" x14ac:dyDescent="0.2">
      <c r="I191" s="7"/>
      <c r="K191" s="8"/>
      <c r="L191" s="8"/>
      <c r="M191" s="8"/>
      <c r="N191" s="9"/>
      <c r="P191" s="15"/>
    </row>
    <row r="192" spans="9:16" x14ac:dyDescent="0.2">
      <c r="I192" s="7"/>
      <c r="K192" s="8"/>
      <c r="L192" s="8"/>
      <c r="M192" s="8"/>
      <c r="N192" s="9"/>
      <c r="P192" s="15"/>
    </row>
    <row r="193" spans="9:16" x14ac:dyDescent="0.2">
      <c r="I193" s="7"/>
      <c r="K193" s="8"/>
      <c r="L193" s="8"/>
      <c r="M193" s="8"/>
      <c r="N193" s="9"/>
      <c r="P193" s="15"/>
    </row>
    <row r="194" spans="9:16" x14ac:dyDescent="0.2">
      <c r="I194" s="7"/>
      <c r="K194" s="8"/>
      <c r="L194" s="8"/>
      <c r="M194" s="8"/>
      <c r="N194" s="9"/>
      <c r="P194" s="15"/>
    </row>
    <row r="195" spans="9:16" x14ac:dyDescent="0.2">
      <c r="I195" s="7"/>
      <c r="K195" s="8"/>
      <c r="L195" s="8"/>
      <c r="M195" s="8"/>
      <c r="N195" s="9"/>
      <c r="P195" s="15"/>
    </row>
    <row r="196" spans="9:16" x14ac:dyDescent="0.2">
      <c r="I196" s="7"/>
      <c r="K196" s="8"/>
      <c r="L196" s="8"/>
      <c r="M196" s="8"/>
      <c r="N196" s="9"/>
      <c r="P196" s="15"/>
    </row>
    <row r="197" spans="9:16" x14ac:dyDescent="0.2">
      <c r="I197" s="7"/>
      <c r="K197" s="8"/>
      <c r="L197" s="8"/>
      <c r="M197" s="8"/>
      <c r="N197" s="9"/>
      <c r="P197" s="15"/>
    </row>
    <row r="198" spans="9:16" x14ac:dyDescent="0.2">
      <c r="I198" s="7"/>
      <c r="K198" s="8"/>
      <c r="L198" s="8"/>
      <c r="M198" s="8"/>
      <c r="N198" s="9"/>
      <c r="P198" s="15"/>
    </row>
    <row r="199" spans="9:16" x14ac:dyDescent="0.2">
      <c r="I199" s="7"/>
      <c r="K199" s="8"/>
      <c r="L199" s="8"/>
      <c r="M199" s="8"/>
      <c r="N199" s="9"/>
      <c r="P199" s="15"/>
    </row>
    <row r="200" spans="9:16" x14ac:dyDescent="0.2">
      <c r="I200" s="7"/>
      <c r="K200" s="8"/>
      <c r="L200" s="8"/>
      <c r="M200" s="8"/>
      <c r="N200" s="9"/>
      <c r="P200" s="15"/>
    </row>
    <row r="201" spans="9:16" x14ac:dyDescent="0.2">
      <c r="I201" s="7"/>
      <c r="K201" s="8"/>
      <c r="L201" s="8"/>
      <c r="M201" s="8"/>
      <c r="N201" s="9"/>
      <c r="P201" s="15"/>
    </row>
    <row r="202" spans="9:16" x14ac:dyDescent="0.2">
      <c r="I202" s="7"/>
      <c r="K202" s="8"/>
      <c r="L202" s="8"/>
      <c r="M202" s="8"/>
      <c r="N202" s="9"/>
      <c r="P202" s="15"/>
    </row>
    <row r="203" spans="9:16" x14ac:dyDescent="0.2">
      <c r="I203" s="7"/>
      <c r="K203" s="8"/>
      <c r="L203" s="8"/>
      <c r="M203" s="8"/>
      <c r="N203" s="9"/>
      <c r="P203" s="15"/>
    </row>
    <row r="204" spans="9:16" x14ac:dyDescent="0.2">
      <c r="I204" s="7"/>
      <c r="K204" s="8"/>
      <c r="L204" s="8"/>
      <c r="M204" s="8"/>
      <c r="N204" s="9"/>
      <c r="P204" s="15"/>
    </row>
    <row r="205" spans="9:16" x14ac:dyDescent="0.2">
      <c r="I205" s="7"/>
      <c r="K205" s="8"/>
      <c r="L205" s="8"/>
      <c r="M205" s="8"/>
      <c r="N205" s="9"/>
      <c r="P205" s="15"/>
    </row>
    <row r="206" spans="9:16" x14ac:dyDescent="0.2">
      <c r="I206" s="7"/>
      <c r="K206" s="8"/>
      <c r="L206" s="8"/>
      <c r="M206" s="8"/>
      <c r="N206" s="9"/>
      <c r="P206" s="15"/>
    </row>
    <row r="207" spans="9:16" x14ac:dyDescent="0.2">
      <c r="I207" s="7"/>
      <c r="K207" s="8"/>
      <c r="L207" s="8"/>
      <c r="M207" s="8"/>
      <c r="N207" s="9"/>
      <c r="P207" s="15"/>
    </row>
    <row r="208" spans="9:16" x14ac:dyDescent="0.2">
      <c r="I208" s="7"/>
      <c r="K208" s="8"/>
      <c r="L208" s="8"/>
      <c r="M208" s="8"/>
      <c r="N208" s="9"/>
      <c r="P208" s="15"/>
    </row>
    <row r="209" spans="9:16" x14ac:dyDescent="0.2">
      <c r="I209" s="7"/>
      <c r="K209" s="8"/>
      <c r="L209" s="8"/>
      <c r="M209" s="8"/>
      <c r="N209" s="9"/>
      <c r="P209" s="15"/>
    </row>
    <row r="210" spans="9:16" x14ac:dyDescent="0.2">
      <c r="I210" s="7"/>
      <c r="K210" s="8"/>
      <c r="L210" s="8"/>
      <c r="M210" s="8"/>
      <c r="N210" s="9"/>
      <c r="P210" s="15"/>
    </row>
    <row r="211" spans="9:16" x14ac:dyDescent="0.2">
      <c r="I211" s="7"/>
      <c r="K211" s="8"/>
      <c r="L211" s="8"/>
      <c r="M211" s="8"/>
      <c r="N211" s="9"/>
      <c r="P211" s="15"/>
    </row>
    <row r="212" spans="9:16" x14ac:dyDescent="0.2">
      <c r="I212" s="7"/>
      <c r="K212" s="8"/>
      <c r="L212" s="8"/>
      <c r="M212" s="8"/>
      <c r="N212" s="9"/>
      <c r="P212" s="15"/>
    </row>
    <row r="213" spans="9:16" x14ac:dyDescent="0.2">
      <c r="I213" s="7"/>
      <c r="K213" s="8"/>
      <c r="L213" s="8"/>
      <c r="M213" s="8"/>
      <c r="N213" s="9"/>
      <c r="P213" s="15"/>
    </row>
    <row r="214" spans="9:16" x14ac:dyDescent="0.2">
      <c r="I214" s="7"/>
      <c r="K214" s="8"/>
      <c r="L214" s="8"/>
      <c r="M214" s="8"/>
      <c r="N214" s="9"/>
      <c r="P214" s="15"/>
    </row>
    <row r="215" spans="9:16" x14ac:dyDescent="0.2">
      <c r="I215" s="7"/>
      <c r="K215" s="8"/>
      <c r="L215" s="8"/>
      <c r="M215" s="8"/>
      <c r="N215" s="9"/>
      <c r="P215" s="15"/>
    </row>
    <row r="216" spans="9:16" x14ac:dyDescent="0.2">
      <c r="I216" s="7"/>
      <c r="K216" s="8"/>
      <c r="L216" s="8"/>
      <c r="M216" s="8"/>
      <c r="N216" s="9"/>
      <c r="P216" s="15"/>
    </row>
    <row r="217" spans="9:16" x14ac:dyDescent="0.2">
      <c r="I217" s="7"/>
      <c r="K217" s="8"/>
      <c r="L217" s="8"/>
      <c r="M217" s="8"/>
      <c r="N217" s="9"/>
      <c r="P217" s="15"/>
    </row>
    <row r="218" spans="9:16" x14ac:dyDescent="0.2">
      <c r="I218" s="7"/>
      <c r="K218" s="8"/>
      <c r="L218" s="8"/>
      <c r="M218" s="8"/>
      <c r="N218" s="9"/>
      <c r="P218" s="15"/>
    </row>
    <row r="219" spans="9:16" x14ac:dyDescent="0.2">
      <c r="I219" s="7"/>
      <c r="K219" s="8"/>
      <c r="L219" s="8"/>
      <c r="M219" s="8"/>
      <c r="N219" s="9"/>
      <c r="P219" s="15"/>
    </row>
    <row r="220" spans="9:16" x14ac:dyDescent="0.2">
      <c r="I220" s="7"/>
      <c r="K220" s="8"/>
      <c r="L220" s="8"/>
      <c r="M220" s="8"/>
      <c r="N220" s="9"/>
      <c r="P220" s="15"/>
    </row>
    <row r="221" spans="9:16" x14ac:dyDescent="0.2">
      <c r="I221" s="7"/>
      <c r="K221" s="8"/>
      <c r="L221" s="8"/>
      <c r="M221" s="8"/>
      <c r="N221" s="9"/>
      <c r="P221" s="15"/>
    </row>
    <row r="222" spans="9:16" x14ac:dyDescent="0.2">
      <c r="I222" s="7"/>
      <c r="K222" s="8"/>
      <c r="L222" s="8"/>
      <c r="M222" s="8"/>
      <c r="N222" s="9"/>
      <c r="P222" s="15"/>
    </row>
    <row r="223" spans="9:16" x14ac:dyDescent="0.2">
      <c r="I223" s="7"/>
      <c r="K223" s="8"/>
      <c r="L223" s="8"/>
      <c r="M223" s="8"/>
      <c r="N223" s="9"/>
      <c r="P223" s="15"/>
    </row>
    <row r="224" spans="9:16" x14ac:dyDescent="0.2">
      <c r="I224" s="7"/>
      <c r="K224" s="8"/>
      <c r="L224" s="8"/>
      <c r="M224" s="8"/>
      <c r="N224" s="9"/>
      <c r="P224" s="15"/>
    </row>
    <row r="225" spans="9:16" x14ac:dyDescent="0.2">
      <c r="I225" s="7"/>
      <c r="K225" s="8"/>
      <c r="L225" s="8"/>
      <c r="M225" s="8"/>
      <c r="N225" s="9"/>
      <c r="P225" s="15"/>
    </row>
    <row r="226" spans="9:16" x14ac:dyDescent="0.2">
      <c r="I226" s="7"/>
      <c r="K226" s="8"/>
      <c r="L226" s="8"/>
      <c r="M226" s="8"/>
      <c r="N226" s="9"/>
      <c r="P226" s="15"/>
    </row>
    <row r="227" spans="9:16" x14ac:dyDescent="0.2">
      <c r="I227" s="7"/>
      <c r="K227" s="8"/>
      <c r="L227" s="8"/>
      <c r="M227" s="8"/>
      <c r="N227" s="9"/>
      <c r="P227" s="15"/>
    </row>
    <row r="228" spans="9:16" x14ac:dyDescent="0.2">
      <c r="I228" s="7"/>
      <c r="K228" s="8"/>
      <c r="L228" s="8"/>
      <c r="M228" s="8"/>
      <c r="N228" s="9"/>
      <c r="P228" s="15"/>
    </row>
    <row r="229" spans="9:16" x14ac:dyDescent="0.2">
      <c r="I229" s="7"/>
      <c r="K229" s="8"/>
      <c r="L229" s="8"/>
      <c r="M229" s="8"/>
      <c r="N229" s="9"/>
      <c r="P229" s="15"/>
    </row>
    <row r="230" spans="9:16" x14ac:dyDescent="0.2">
      <c r="I230" s="7"/>
      <c r="K230" s="8"/>
      <c r="L230" s="8"/>
      <c r="M230" s="8"/>
      <c r="N230" s="9"/>
      <c r="P230" s="15"/>
    </row>
    <row r="231" spans="9:16" x14ac:dyDescent="0.2">
      <c r="I231" s="7"/>
      <c r="K231" s="8"/>
      <c r="L231" s="8"/>
      <c r="M231" s="8"/>
      <c r="N231" s="9"/>
      <c r="P231" s="15"/>
    </row>
    <row r="232" spans="9:16" x14ac:dyDescent="0.2">
      <c r="I232" s="7"/>
      <c r="K232" s="8"/>
      <c r="L232" s="8"/>
      <c r="M232" s="8"/>
      <c r="N232" s="9"/>
      <c r="P232" s="15"/>
    </row>
    <row r="233" spans="9:16" x14ac:dyDescent="0.2">
      <c r="I233" s="7"/>
      <c r="K233" s="8"/>
      <c r="L233" s="8"/>
      <c r="M233" s="8"/>
      <c r="N233" s="9"/>
      <c r="P233" s="15"/>
    </row>
    <row r="234" spans="9:16" x14ac:dyDescent="0.2">
      <c r="I234" s="7"/>
      <c r="K234" s="8"/>
      <c r="L234" s="8"/>
      <c r="M234" s="8"/>
      <c r="N234" s="9"/>
      <c r="P234" s="15"/>
    </row>
    <row r="235" spans="9:16" x14ac:dyDescent="0.2">
      <c r="I235" s="7"/>
      <c r="K235" s="8"/>
      <c r="L235" s="8"/>
      <c r="M235" s="8"/>
      <c r="N235" s="9"/>
      <c r="P235" s="15"/>
    </row>
    <row r="236" spans="9:16" x14ac:dyDescent="0.2">
      <c r="I236" s="7"/>
      <c r="K236" s="8"/>
      <c r="L236" s="8"/>
      <c r="M236" s="8"/>
      <c r="N236" s="9"/>
      <c r="P236" s="15"/>
    </row>
    <row r="237" spans="9:16" x14ac:dyDescent="0.2">
      <c r="I237" s="7"/>
      <c r="K237" s="8"/>
      <c r="L237" s="8"/>
      <c r="M237" s="8"/>
      <c r="N237" s="9"/>
      <c r="P237" s="15"/>
    </row>
    <row r="238" spans="9:16" x14ac:dyDescent="0.2">
      <c r="I238" s="7"/>
      <c r="K238" s="8"/>
      <c r="L238" s="8"/>
      <c r="M238" s="8"/>
      <c r="N238" s="9"/>
      <c r="P238" s="15"/>
    </row>
    <row r="239" spans="9:16" x14ac:dyDescent="0.2">
      <c r="I239" s="7"/>
      <c r="K239" s="8"/>
      <c r="L239" s="8"/>
      <c r="M239" s="8"/>
      <c r="N239" s="9"/>
      <c r="P239" s="15"/>
    </row>
    <row r="240" spans="9:16" x14ac:dyDescent="0.2">
      <c r="I240" s="7"/>
      <c r="K240" s="8"/>
      <c r="L240" s="8"/>
      <c r="M240" s="8"/>
      <c r="N240" s="9"/>
      <c r="P240" s="15"/>
    </row>
    <row r="241" spans="9:16" x14ac:dyDescent="0.2">
      <c r="I241" s="7"/>
      <c r="K241" s="8"/>
      <c r="L241" s="8"/>
      <c r="M241" s="8"/>
      <c r="N241" s="9"/>
      <c r="P241" s="15"/>
    </row>
    <row r="242" spans="9:16" x14ac:dyDescent="0.2">
      <c r="I242" s="7"/>
      <c r="K242" s="8"/>
      <c r="L242" s="8"/>
      <c r="M242" s="8"/>
      <c r="N242" s="9"/>
      <c r="P242" s="15"/>
    </row>
    <row r="243" spans="9:16" x14ac:dyDescent="0.2">
      <c r="I243" s="7"/>
      <c r="K243" s="8"/>
      <c r="L243" s="8"/>
      <c r="M243" s="8"/>
      <c r="N243" s="9"/>
      <c r="P243" s="15"/>
    </row>
    <row r="244" spans="9:16" x14ac:dyDescent="0.2">
      <c r="I244" s="7"/>
      <c r="K244" s="8"/>
      <c r="L244" s="8"/>
      <c r="M244" s="8"/>
      <c r="N244" s="9"/>
      <c r="P244" s="15"/>
    </row>
    <row r="245" spans="9:16" x14ac:dyDescent="0.2">
      <c r="I245" s="7"/>
      <c r="K245" s="8"/>
      <c r="L245" s="8"/>
      <c r="M245" s="8"/>
      <c r="N245" s="9"/>
      <c r="P245" s="15"/>
    </row>
    <row r="246" spans="9:16" x14ac:dyDescent="0.2">
      <c r="I246" s="7"/>
      <c r="K246" s="8"/>
      <c r="L246" s="8"/>
      <c r="M246" s="8"/>
      <c r="N246" s="9"/>
      <c r="P246" s="15"/>
    </row>
    <row r="247" spans="9:16" x14ac:dyDescent="0.2">
      <c r="I247" s="7"/>
      <c r="K247" s="8"/>
      <c r="L247" s="8"/>
      <c r="M247" s="8"/>
      <c r="N247" s="9"/>
      <c r="P247" s="15"/>
    </row>
    <row r="248" spans="9:16" x14ac:dyDescent="0.2">
      <c r="I248" s="7"/>
      <c r="K248" s="8"/>
      <c r="L248" s="8"/>
      <c r="M248" s="8"/>
      <c r="N248" s="9"/>
      <c r="P248" s="15"/>
    </row>
    <row r="249" spans="9:16" x14ac:dyDescent="0.2">
      <c r="I249" s="7"/>
      <c r="K249" s="8"/>
      <c r="L249" s="8"/>
      <c r="M249" s="8"/>
      <c r="N249" s="9"/>
      <c r="P249" s="15"/>
    </row>
    <row r="250" spans="9:16" x14ac:dyDescent="0.2">
      <c r="I250" s="7"/>
      <c r="K250" s="8"/>
      <c r="L250" s="8"/>
      <c r="M250" s="8"/>
      <c r="N250" s="9"/>
      <c r="P250" s="15"/>
    </row>
    <row r="251" spans="9:16" x14ac:dyDescent="0.2">
      <c r="I251" s="7"/>
      <c r="K251" s="8"/>
      <c r="L251" s="8"/>
      <c r="M251" s="8"/>
      <c r="N251" s="9"/>
      <c r="P251" s="15"/>
    </row>
    <row r="252" spans="9:16" x14ac:dyDescent="0.2">
      <c r="I252" s="7"/>
      <c r="K252" s="8"/>
      <c r="L252" s="8"/>
      <c r="M252" s="8"/>
      <c r="N252" s="9"/>
      <c r="P252" s="15"/>
    </row>
    <row r="253" spans="9:16" x14ac:dyDescent="0.2">
      <c r="I253" s="7"/>
      <c r="K253" s="8"/>
      <c r="L253" s="8"/>
      <c r="M253" s="8"/>
      <c r="N253" s="9"/>
      <c r="P253" s="15"/>
    </row>
    <row r="254" spans="9:16" x14ac:dyDescent="0.2">
      <c r="I254" s="7"/>
      <c r="K254" s="8"/>
      <c r="L254" s="8"/>
      <c r="M254" s="8"/>
      <c r="N254" s="9"/>
      <c r="P254" s="15"/>
    </row>
    <row r="255" spans="9:16" x14ac:dyDescent="0.2">
      <c r="I255" s="7"/>
      <c r="K255" s="8"/>
      <c r="L255" s="8"/>
      <c r="M255" s="8"/>
      <c r="N255" s="9"/>
      <c r="P255" s="15"/>
    </row>
    <row r="256" spans="9:16" x14ac:dyDescent="0.2">
      <c r="I256" s="7"/>
      <c r="K256" s="8"/>
      <c r="L256" s="8"/>
      <c r="M256" s="8"/>
      <c r="N256" s="9"/>
      <c r="P256" s="15"/>
    </row>
    <row r="257" spans="9:16" x14ac:dyDescent="0.2">
      <c r="I257" s="7"/>
      <c r="K257" s="8"/>
      <c r="L257" s="8"/>
      <c r="M257" s="8"/>
      <c r="N257" s="9"/>
      <c r="P257" s="15"/>
    </row>
    <row r="258" spans="9:16" x14ac:dyDescent="0.2">
      <c r="I258" s="7"/>
      <c r="K258" s="8"/>
      <c r="L258" s="8"/>
      <c r="M258" s="8"/>
      <c r="N258" s="9"/>
      <c r="P258" s="15"/>
    </row>
    <row r="259" spans="9:16" x14ac:dyDescent="0.2">
      <c r="I259" s="7"/>
      <c r="K259" s="8"/>
      <c r="L259" s="8"/>
      <c r="M259" s="8"/>
      <c r="N259" s="9"/>
      <c r="P259" s="15"/>
    </row>
    <row r="260" spans="9:16" x14ac:dyDescent="0.2">
      <c r="I260" s="7"/>
      <c r="K260" s="8"/>
      <c r="L260" s="8"/>
      <c r="M260" s="8"/>
      <c r="N260" s="9"/>
      <c r="P260" s="15"/>
    </row>
    <row r="261" spans="9:16" x14ac:dyDescent="0.2">
      <c r="I261" s="7"/>
      <c r="K261" s="8"/>
      <c r="L261" s="8"/>
      <c r="M261" s="8"/>
      <c r="N261" s="9"/>
      <c r="P261" s="15"/>
    </row>
    <row r="262" spans="9:16" x14ac:dyDescent="0.2">
      <c r="I262" s="7"/>
      <c r="K262" s="8"/>
      <c r="L262" s="8"/>
      <c r="M262" s="8"/>
      <c r="N262" s="9"/>
      <c r="P262" s="15"/>
    </row>
    <row r="263" spans="9:16" x14ac:dyDescent="0.2">
      <c r="I263" s="7"/>
      <c r="K263" s="8"/>
      <c r="L263" s="8"/>
      <c r="M263" s="8"/>
      <c r="N263" s="9"/>
      <c r="P263" s="15"/>
    </row>
    <row r="264" spans="9:16" x14ac:dyDescent="0.2">
      <c r="I264" s="7"/>
      <c r="K264" s="8"/>
      <c r="L264" s="8"/>
      <c r="M264" s="8"/>
      <c r="N264" s="9"/>
      <c r="P264" s="15"/>
    </row>
    <row r="265" spans="9:16" x14ac:dyDescent="0.2">
      <c r="I265" s="7"/>
      <c r="K265" s="8"/>
      <c r="L265" s="8"/>
      <c r="M265" s="8"/>
      <c r="N265" s="9"/>
      <c r="P265" s="15"/>
    </row>
    <row r="266" spans="9:16" x14ac:dyDescent="0.2">
      <c r="I266" s="7"/>
      <c r="K266" s="8"/>
      <c r="L266" s="8"/>
      <c r="M266" s="8"/>
      <c r="N266" s="9"/>
      <c r="P266" s="15"/>
    </row>
    <row r="267" spans="9:16" x14ac:dyDescent="0.2">
      <c r="I267" s="7"/>
      <c r="K267" s="8"/>
      <c r="L267" s="8"/>
      <c r="M267" s="8"/>
      <c r="N267" s="9"/>
      <c r="P267" s="15"/>
    </row>
    <row r="268" spans="9:16" x14ac:dyDescent="0.2">
      <c r="I268" s="7"/>
      <c r="K268" s="8"/>
      <c r="L268" s="8"/>
      <c r="M268" s="8"/>
      <c r="N268" s="9"/>
      <c r="P268" s="15"/>
    </row>
    <row r="269" spans="9:16" x14ac:dyDescent="0.2">
      <c r="I269" s="7"/>
      <c r="K269" s="8"/>
      <c r="L269" s="8"/>
      <c r="M269" s="8"/>
      <c r="N269" s="9"/>
      <c r="P269" s="15"/>
    </row>
    <row r="270" spans="9:16" x14ac:dyDescent="0.2">
      <c r="I270" s="7"/>
      <c r="K270" s="8"/>
      <c r="L270" s="8"/>
      <c r="M270" s="8"/>
      <c r="N270" s="9"/>
      <c r="P270" s="15"/>
    </row>
    <row r="271" spans="9:16" x14ac:dyDescent="0.2">
      <c r="I271" s="7"/>
      <c r="K271" s="8"/>
      <c r="L271" s="8"/>
      <c r="M271" s="8"/>
      <c r="N271" s="9"/>
      <c r="P271" s="15"/>
    </row>
    <row r="272" spans="9:16" x14ac:dyDescent="0.2">
      <c r="I272" s="7"/>
      <c r="K272" s="8"/>
      <c r="L272" s="8"/>
      <c r="M272" s="8"/>
      <c r="N272" s="9"/>
      <c r="P272" s="15"/>
    </row>
    <row r="273" spans="9:16" x14ac:dyDescent="0.2">
      <c r="I273" s="7"/>
      <c r="K273" s="8"/>
      <c r="L273" s="8"/>
      <c r="M273" s="8"/>
      <c r="N273" s="9"/>
      <c r="P273" s="15"/>
    </row>
    <row r="274" spans="9:16" x14ac:dyDescent="0.2">
      <c r="I274" s="7"/>
      <c r="K274" s="8"/>
      <c r="L274" s="8"/>
      <c r="M274" s="8"/>
      <c r="N274" s="9"/>
      <c r="P274" s="15"/>
    </row>
    <row r="275" spans="9:16" x14ac:dyDescent="0.2">
      <c r="I275" s="7"/>
      <c r="K275" s="8"/>
      <c r="L275" s="8"/>
      <c r="M275" s="8"/>
      <c r="N275" s="9"/>
      <c r="P275" s="15"/>
    </row>
    <row r="276" spans="9:16" x14ac:dyDescent="0.2">
      <c r="I276" s="7"/>
      <c r="K276" s="8"/>
      <c r="L276" s="8"/>
      <c r="M276" s="8"/>
      <c r="N276" s="9"/>
      <c r="P276" s="15"/>
    </row>
    <row r="277" spans="9:16" x14ac:dyDescent="0.2">
      <c r="I277" s="7"/>
      <c r="K277" s="8"/>
      <c r="L277" s="8"/>
      <c r="M277" s="8"/>
      <c r="N277" s="9"/>
      <c r="P277" s="15"/>
    </row>
    <row r="278" spans="9:16" x14ac:dyDescent="0.2">
      <c r="I278" s="7"/>
      <c r="K278" s="8"/>
      <c r="L278" s="8"/>
      <c r="M278" s="8"/>
      <c r="N278" s="9"/>
      <c r="P278" s="15"/>
    </row>
    <row r="279" spans="9:16" x14ac:dyDescent="0.2">
      <c r="I279" s="7"/>
      <c r="K279" s="8"/>
      <c r="L279" s="8"/>
      <c r="M279" s="8"/>
      <c r="N279" s="9"/>
      <c r="P279" s="15"/>
    </row>
    <row r="280" spans="9:16" x14ac:dyDescent="0.2">
      <c r="I280" s="7"/>
      <c r="K280" s="8"/>
      <c r="L280" s="8"/>
      <c r="M280" s="8"/>
      <c r="N280" s="9"/>
      <c r="P280" s="15"/>
    </row>
    <row r="281" spans="9:16" x14ac:dyDescent="0.2">
      <c r="I281" s="7"/>
      <c r="K281" s="8"/>
      <c r="L281" s="8"/>
      <c r="M281" s="8"/>
      <c r="N281" s="9"/>
      <c r="P281" s="15"/>
    </row>
    <row r="282" spans="9:16" x14ac:dyDescent="0.2">
      <c r="I282" s="7"/>
      <c r="K282" s="8"/>
      <c r="L282" s="8"/>
      <c r="M282" s="8"/>
      <c r="N282" s="9"/>
      <c r="P282" s="15"/>
    </row>
    <row r="283" spans="9:16" x14ac:dyDescent="0.2">
      <c r="I283" s="7"/>
      <c r="K283" s="8"/>
      <c r="L283" s="8"/>
      <c r="M283" s="8"/>
      <c r="N283" s="9"/>
      <c r="P283" s="15"/>
    </row>
    <row r="284" spans="9:16" x14ac:dyDescent="0.2">
      <c r="I284" s="7"/>
      <c r="K284" s="8"/>
      <c r="L284" s="8"/>
      <c r="M284" s="8"/>
      <c r="N284" s="9"/>
      <c r="P284" s="15"/>
    </row>
    <row r="285" spans="9:16" x14ac:dyDescent="0.2">
      <c r="I285" s="7"/>
      <c r="K285" s="8"/>
      <c r="L285" s="8"/>
      <c r="M285" s="8"/>
      <c r="N285" s="9"/>
      <c r="P285" s="15"/>
    </row>
    <row r="286" spans="9:16" x14ac:dyDescent="0.2">
      <c r="I286" s="7"/>
      <c r="K286" s="8"/>
      <c r="L286" s="8"/>
      <c r="M286" s="8"/>
      <c r="N286" s="9"/>
      <c r="P286" s="15"/>
    </row>
    <row r="287" spans="9:16" x14ac:dyDescent="0.2">
      <c r="I287" s="7"/>
      <c r="K287" s="8"/>
      <c r="L287" s="8"/>
      <c r="M287" s="8"/>
      <c r="N287" s="9"/>
      <c r="P287" s="15"/>
    </row>
    <row r="288" spans="9:16" x14ac:dyDescent="0.2">
      <c r="I288" s="7"/>
      <c r="K288" s="8"/>
      <c r="L288" s="8"/>
      <c r="M288" s="8"/>
      <c r="N288" s="9"/>
      <c r="P288" s="15"/>
    </row>
    <row r="289" spans="9:16" x14ac:dyDescent="0.2">
      <c r="I289" s="7"/>
      <c r="K289" s="8"/>
      <c r="L289" s="8"/>
      <c r="M289" s="8"/>
      <c r="N289" s="9"/>
      <c r="P289" s="15"/>
    </row>
    <row r="290" spans="9:16" x14ac:dyDescent="0.2">
      <c r="I290" s="7"/>
      <c r="K290" s="8"/>
      <c r="L290" s="8"/>
      <c r="M290" s="8"/>
      <c r="N290" s="9"/>
      <c r="P290" s="15"/>
    </row>
    <row r="291" spans="9:16" x14ac:dyDescent="0.2">
      <c r="I291" s="7"/>
      <c r="K291" s="8"/>
      <c r="L291" s="8"/>
      <c r="M291" s="8"/>
      <c r="N291" s="9"/>
      <c r="P291" s="15"/>
    </row>
    <row r="292" spans="9:16" x14ac:dyDescent="0.2">
      <c r="I292" s="7"/>
      <c r="K292" s="8"/>
      <c r="L292" s="8"/>
      <c r="M292" s="8"/>
      <c r="N292" s="9"/>
      <c r="P292" s="15"/>
    </row>
    <row r="293" spans="9:16" x14ac:dyDescent="0.2">
      <c r="I293" s="7"/>
      <c r="K293" s="8"/>
      <c r="L293" s="8"/>
      <c r="M293" s="8"/>
      <c r="N293" s="9"/>
      <c r="P293" s="15"/>
    </row>
    <row r="294" spans="9:16" x14ac:dyDescent="0.2">
      <c r="I294" s="7"/>
      <c r="K294" s="8"/>
      <c r="L294" s="8"/>
      <c r="M294" s="8"/>
      <c r="N294" s="9"/>
      <c r="P294" s="15"/>
    </row>
    <row r="295" spans="9:16" x14ac:dyDescent="0.2">
      <c r="I295" s="7"/>
      <c r="K295" s="8"/>
      <c r="L295" s="8"/>
      <c r="M295" s="8"/>
      <c r="N295" s="9"/>
      <c r="P295" s="15"/>
    </row>
    <row r="296" spans="9:16" x14ac:dyDescent="0.2">
      <c r="I296" s="7"/>
      <c r="K296" s="8"/>
      <c r="L296" s="8"/>
      <c r="M296" s="8"/>
      <c r="N296" s="9"/>
      <c r="P296" s="15"/>
    </row>
    <row r="297" spans="9:16" x14ac:dyDescent="0.2">
      <c r="I297" s="7"/>
      <c r="K297" s="8"/>
      <c r="L297" s="8"/>
      <c r="M297" s="8"/>
      <c r="N297" s="9"/>
      <c r="P297" s="15"/>
    </row>
    <row r="298" spans="9:16" x14ac:dyDescent="0.2">
      <c r="I298" s="7"/>
      <c r="K298" s="8"/>
      <c r="L298" s="8"/>
      <c r="M298" s="8"/>
      <c r="N298" s="9"/>
      <c r="P298" s="15"/>
    </row>
    <row r="299" spans="9:16" x14ac:dyDescent="0.2">
      <c r="I299" s="7"/>
      <c r="K299" s="8"/>
      <c r="L299" s="8"/>
      <c r="M299" s="8"/>
      <c r="N299" s="9"/>
      <c r="P299" s="15"/>
    </row>
    <row r="300" spans="9:16" x14ac:dyDescent="0.2">
      <c r="I300" s="7"/>
      <c r="K300" s="8"/>
      <c r="L300" s="8"/>
      <c r="M300" s="8"/>
      <c r="N300" s="9"/>
      <c r="P300" s="15"/>
    </row>
    <row r="301" spans="9:16" x14ac:dyDescent="0.2">
      <c r="I301" s="7"/>
      <c r="K301" s="8"/>
      <c r="L301" s="8"/>
      <c r="M301" s="8"/>
      <c r="N301" s="9"/>
      <c r="P301" s="15"/>
    </row>
    <row r="302" spans="9:16" x14ac:dyDescent="0.2">
      <c r="I302" s="7"/>
      <c r="K302" s="8"/>
      <c r="L302" s="8"/>
      <c r="M302" s="8"/>
      <c r="N302" s="9"/>
      <c r="P302" s="15"/>
    </row>
    <row r="303" spans="9:16" x14ac:dyDescent="0.2">
      <c r="I303" s="7"/>
      <c r="K303" s="8"/>
      <c r="L303" s="8"/>
      <c r="M303" s="8"/>
      <c r="N303" s="9"/>
      <c r="P303" s="15"/>
    </row>
    <row r="304" spans="9:16" x14ac:dyDescent="0.2">
      <c r="I304" s="7"/>
      <c r="K304" s="8"/>
      <c r="L304" s="8"/>
      <c r="M304" s="8"/>
      <c r="N304" s="9"/>
      <c r="P304" s="15"/>
    </row>
    <row r="305" spans="9:16" x14ac:dyDescent="0.2">
      <c r="I305" s="7"/>
      <c r="K305" s="8"/>
      <c r="L305" s="8"/>
      <c r="M305" s="8"/>
      <c r="N305" s="9"/>
      <c r="P305" s="15"/>
    </row>
    <row r="306" spans="9:16" x14ac:dyDescent="0.2">
      <c r="I306" s="7"/>
      <c r="K306" s="8"/>
      <c r="L306" s="8"/>
      <c r="M306" s="8"/>
      <c r="N306" s="9"/>
      <c r="P306" s="15"/>
    </row>
    <row r="307" spans="9:16" x14ac:dyDescent="0.2">
      <c r="I307" s="7"/>
      <c r="K307" s="8"/>
      <c r="L307" s="8"/>
      <c r="M307" s="8"/>
      <c r="N307" s="9"/>
      <c r="P307" s="15"/>
    </row>
    <row r="308" spans="9:16" x14ac:dyDescent="0.2">
      <c r="I308" s="7"/>
      <c r="K308" s="8"/>
      <c r="L308" s="8"/>
      <c r="M308" s="8"/>
      <c r="N308" s="9"/>
      <c r="P308" s="15"/>
    </row>
    <row r="309" spans="9:16" x14ac:dyDescent="0.2">
      <c r="I309" s="7"/>
      <c r="K309" s="8"/>
      <c r="L309" s="8"/>
      <c r="M309" s="8"/>
      <c r="N309" s="9"/>
      <c r="P309" s="15"/>
    </row>
    <row r="310" spans="9:16" x14ac:dyDescent="0.2">
      <c r="I310" s="7"/>
      <c r="K310" s="8"/>
      <c r="L310" s="8"/>
      <c r="M310" s="8"/>
      <c r="N310" s="9"/>
      <c r="P310" s="15"/>
    </row>
    <row r="311" spans="9:16" x14ac:dyDescent="0.2">
      <c r="I311" s="7"/>
      <c r="K311" s="8"/>
      <c r="L311" s="8"/>
      <c r="M311" s="8"/>
      <c r="N311" s="9"/>
      <c r="P311" s="15"/>
    </row>
    <row r="312" spans="9:16" x14ac:dyDescent="0.2">
      <c r="I312" s="7"/>
      <c r="K312" s="8"/>
      <c r="L312" s="8"/>
      <c r="M312" s="8"/>
      <c r="N312" s="9"/>
      <c r="P312" s="15"/>
    </row>
    <row r="313" spans="9:16" x14ac:dyDescent="0.2">
      <c r="I313" s="7"/>
      <c r="K313" s="8"/>
      <c r="L313" s="8"/>
      <c r="M313" s="8"/>
      <c r="N313" s="9"/>
      <c r="P313" s="15"/>
    </row>
    <row r="314" spans="9:16" x14ac:dyDescent="0.2">
      <c r="I314" s="7"/>
      <c r="K314" s="8"/>
      <c r="L314" s="8"/>
      <c r="M314" s="8"/>
      <c r="N314" s="9"/>
      <c r="P314" s="15"/>
    </row>
    <row r="315" spans="9:16" x14ac:dyDescent="0.2">
      <c r="I315" s="7"/>
      <c r="K315" s="8"/>
      <c r="L315" s="8"/>
      <c r="M315" s="8"/>
      <c r="N315" s="9"/>
      <c r="P315" s="15"/>
    </row>
    <row r="316" spans="9:16" x14ac:dyDescent="0.2">
      <c r="I316" s="7"/>
      <c r="K316" s="8"/>
      <c r="L316" s="8"/>
      <c r="M316" s="8"/>
      <c r="N316" s="9"/>
      <c r="P316" s="15"/>
    </row>
    <row r="317" spans="9:16" x14ac:dyDescent="0.2">
      <c r="I317" s="7"/>
      <c r="K317" s="8"/>
      <c r="L317" s="8"/>
      <c r="M317" s="8"/>
      <c r="N317" s="9"/>
      <c r="P317" s="15"/>
    </row>
    <row r="318" spans="9:16" x14ac:dyDescent="0.2">
      <c r="I318" s="7"/>
      <c r="K318" s="8"/>
      <c r="L318" s="8"/>
      <c r="M318" s="8"/>
      <c r="N318" s="9"/>
      <c r="P318" s="15"/>
    </row>
    <row r="319" spans="9:16" x14ac:dyDescent="0.2">
      <c r="I319" s="7"/>
      <c r="K319" s="8"/>
      <c r="L319" s="8"/>
      <c r="M319" s="8"/>
      <c r="N319" s="9"/>
      <c r="P319" s="15"/>
    </row>
    <row r="320" spans="9:16" x14ac:dyDescent="0.2">
      <c r="I320" s="7"/>
      <c r="K320" s="8"/>
      <c r="L320" s="8"/>
      <c r="M320" s="8"/>
      <c r="N320" s="9"/>
      <c r="P320" s="15"/>
    </row>
    <row r="321" spans="9:16" x14ac:dyDescent="0.2">
      <c r="I321" s="7"/>
      <c r="K321" s="8"/>
      <c r="L321" s="8"/>
      <c r="M321" s="8"/>
      <c r="N321" s="9"/>
      <c r="P321" s="15"/>
    </row>
    <row r="322" spans="9:16" x14ac:dyDescent="0.2">
      <c r="I322" s="7"/>
      <c r="K322" s="8"/>
      <c r="L322" s="8"/>
      <c r="M322" s="8"/>
      <c r="N322" s="9"/>
      <c r="P322" s="15"/>
    </row>
    <row r="323" spans="9:16" x14ac:dyDescent="0.2">
      <c r="I323" s="7"/>
      <c r="K323" s="8"/>
      <c r="L323" s="8"/>
      <c r="M323" s="8"/>
      <c r="N323" s="9"/>
      <c r="P323" s="15"/>
    </row>
    <row r="324" spans="9:16" x14ac:dyDescent="0.2">
      <c r="I324" s="7"/>
      <c r="K324" s="8"/>
      <c r="L324" s="8"/>
      <c r="M324" s="8"/>
      <c r="N324" s="9"/>
      <c r="P324" s="15"/>
    </row>
    <row r="325" spans="9:16" x14ac:dyDescent="0.2">
      <c r="I325" s="7"/>
      <c r="K325" s="8"/>
      <c r="L325" s="8"/>
      <c r="M325" s="8"/>
      <c r="N325" s="9"/>
      <c r="P325" s="15"/>
    </row>
    <row r="326" spans="9:16" x14ac:dyDescent="0.2">
      <c r="I326" s="7"/>
      <c r="K326" s="8"/>
      <c r="L326" s="8"/>
      <c r="M326" s="8"/>
      <c r="N326" s="9"/>
      <c r="P326" s="15"/>
    </row>
    <row r="327" spans="9:16" x14ac:dyDescent="0.2">
      <c r="I327" s="7"/>
      <c r="K327" s="8"/>
      <c r="L327" s="8"/>
      <c r="M327" s="8"/>
      <c r="N327" s="9"/>
      <c r="P327" s="15"/>
    </row>
    <row r="328" spans="9:16" x14ac:dyDescent="0.2">
      <c r="I328" s="7"/>
      <c r="K328" s="8"/>
      <c r="L328" s="8"/>
      <c r="M328" s="8"/>
      <c r="N328" s="9"/>
      <c r="P328" s="15"/>
    </row>
    <row r="329" spans="9:16" x14ac:dyDescent="0.2">
      <c r="I329" s="7"/>
      <c r="K329" s="8"/>
      <c r="L329" s="8"/>
      <c r="M329" s="8"/>
      <c r="N329" s="9"/>
      <c r="P329" s="15"/>
    </row>
    <row r="330" spans="9:16" x14ac:dyDescent="0.2">
      <c r="I330" s="7"/>
      <c r="K330" s="8"/>
      <c r="L330" s="8"/>
      <c r="M330" s="8"/>
      <c r="N330" s="9"/>
      <c r="P330" s="15"/>
    </row>
    <row r="331" spans="9:16" x14ac:dyDescent="0.2">
      <c r="I331" s="7"/>
      <c r="K331" s="8"/>
      <c r="L331" s="8"/>
      <c r="M331" s="8"/>
      <c r="N331" s="9"/>
      <c r="P331" s="15"/>
    </row>
    <row r="332" spans="9:16" x14ac:dyDescent="0.2">
      <c r="I332" s="7"/>
      <c r="K332" s="8"/>
      <c r="L332" s="8"/>
      <c r="M332" s="8"/>
      <c r="N332" s="9"/>
      <c r="P332" s="15"/>
    </row>
    <row r="333" spans="9:16" x14ac:dyDescent="0.2">
      <c r="I333" s="7"/>
      <c r="K333" s="8"/>
      <c r="L333" s="8"/>
      <c r="M333" s="8"/>
      <c r="N333" s="9"/>
      <c r="P333" s="15"/>
    </row>
    <row r="334" spans="9:16" x14ac:dyDescent="0.2">
      <c r="I334" s="7"/>
      <c r="K334" s="8"/>
      <c r="L334" s="8"/>
      <c r="M334" s="8"/>
      <c r="N334" s="9"/>
      <c r="P334" s="15"/>
    </row>
    <row r="335" spans="9:16" x14ac:dyDescent="0.2">
      <c r="I335" s="7"/>
      <c r="K335" s="8"/>
      <c r="L335" s="8"/>
      <c r="M335" s="8"/>
      <c r="N335" s="9"/>
      <c r="P335" s="15"/>
    </row>
    <row r="336" spans="9:16" x14ac:dyDescent="0.2">
      <c r="I336" s="7"/>
      <c r="K336" s="8"/>
      <c r="L336" s="8"/>
      <c r="M336" s="8"/>
      <c r="N336" s="9"/>
      <c r="P336" s="15"/>
    </row>
    <row r="337" spans="9:16" x14ac:dyDescent="0.2">
      <c r="I337" s="7"/>
      <c r="K337" s="8"/>
      <c r="L337" s="8"/>
      <c r="M337" s="8"/>
      <c r="N337" s="9"/>
      <c r="P337" s="15"/>
    </row>
    <row r="338" spans="9:16" x14ac:dyDescent="0.2">
      <c r="I338" s="7"/>
      <c r="K338" s="8"/>
      <c r="L338" s="8"/>
      <c r="M338" s="8"/>
      <c r="N338" s="9"/>
      <c r="P338" s="15"/>
    </row>
    <row r="339" spans="9:16" x14ac:dyDescent="0.2">
      <c r="I339" s="7"/>
      <c r="K339" s="8"/>
      <c r="L339" s="8"/>
      <c r="M339" s="8"/>
      <c r="N339" s="9"/>
      <c r="P339" s="15"/>
    </row>
    <row r="340" spans="9:16" x14ac:dyDescent="0.2">
      <c r="I340" s="7"/>
      <c r="K340" s="8"/>
      <c r="L340" s="8"/>
      <c r="M340" s="8"/>
      <c r="N340" s="9"/>
      <c r="P340" s="15"/>
    </row>
    <row r="341" spans="9:16" x14ac:dyDescent="0.2">
      <c r="I341" s="7"/>
      <c r="K341" s="8"/>
      <c r="L341" s="8"/>
      <c r="M341" s="8"/>
      <c r="N341" s="9"/>
      <c r="P341" s="15"/>
    </row>
    <row r="342" spans="9:16" x14ac:dyDescent="0.2">
      <c r="I342" s="7"/>
      <c r="K342" s="8"/>
      <c r="L342" s="8"/>
      <c r="M342" s="8"/>
      <c r="N342" s="9"/>
      <c r="P342" s="15"/>
    </row>
    <row r="343" spans="9:16" x14ac:dyDescent="0.2">
      <c r="I343" s="7"/>
      <c r="K343" s="8"/>
      <c r="L343" s="8"/>
      <c r="M343" s="8"/>
      <c r="N343" s="9"/>
      <c r="P343" s="15"/>
    </row>
    <row r="344" spans="9:16" x14ac:dyDescent="0.2">
      <c r="I344" s="7"/>
      <c r="K344" s="8"/>
      <c r="L344" s="8"/>
      <c r="M344" s="8"/>
      <c r="N344" s="9"/>
      <c r="P344" s="15"/>
    </row>
    <row r="345" spans="9:16" x14ac:dyDescent="0.2">
      <c r="I345" s="7"/>
      <c r="K345" s="8"/>
      <c r="L345" s="8"/>
      <c r="M345" s="8"/>
      <c r="N345" s="9"/>
      <c r="P345" s="15"/>
    </row>
    <row r="346" spans="9:16" x14ac:dyDescent="0.2">
      <c r="I346" s="7"/>
      <c r="K346" s="8"/>
      <c r="L346" s="8"/>
      <c r="M346" s="8"/>
      <c r="N346" s="9"/>
      <c r="P346" s="15"/>
    </row>
    <row r="347" spans="9:16" x14ac:dyDescent="0.2">
      <c r="I347" s="7"/>
      <c r="K347" s="8"/>
      <c r="L347" s="8"/>
      <c r="M347" s="8"/>
      <c r="N347" s="9"/>
      <c r="P347" s="15"/>
    </row>
    <row r="348" spans="9:16" x14ac:dyDescent="0.2">
      <c r="I348" s="7"/>
      <c r="K348" s="8"/>
      <c r="L348" s="8"/>
      <c r="M348" s="8"/>
      <c r="N348" s="9"/>
      <c r="P348" s="15"/>
    </row>
    <row r="349" spans="9:16" x14ac:dyDescent="0.2">
      <c r="I349" s="7"/>
      <c r="K349" s="8"/>
      <c r="L349" s="8"/>
      <c r="M349" s="8"/>
      <c r="N349" s="9"/>
      <c r="P349" s="15"/>
    </row>
    <row r="350" spans="9:16" x14ac:dyDescent="0.2">
      <c r="I350" s="7"/>
      <c r="K350" s="8"/>
      <c r="L350" s="8"/>
      <c r="M350" s="8"/>
      <c r="N350" s="9"/>
      <c r="P350" s="15"/>
    </row>
    <row r="351" spans="9:16" x14ac:dyDescent="0.2">
      <c r="I351" s="7"/>
      <c r="K351" s="8"/>
      <c r="L351" s="8"/>
      <c r="M351" s="8"/>
      <c r="N351" s="9"/>
      <c r="P351" s="15"/>
    </row>
    <row r="352" spans="9:16" x14ac:dyDescent="0.2">
      <c r="I352" s="7"/>
      <c r="K352" s="8"/>
      <c r="L352" s="8"/>
      <c r="M352" s="8"/>
      <c r="N352" s="9"/>
      <c r="P352" s="15"/>
    </row>
    <row r="353" spans="9:16" x14ac:dyDescent="0.2">
      <c r="I353" s="7"/>
      <c r="K353" s="8"/>
      <c r="L353" s="8"/>
      <c r="M353" s="8"/>
      <c r="N353" s="9"/>
      <c r="P353" s="15"/>
    </row>
    <row r="354" spans="9:16" x14ac:dyDescent="0.2">
      <c r="I354" s="7"/>
      <c r="K354" s="8"/>
      <c r="L354" s="8"/>
      <c r="M354" s="8"/>
      <c r="N354" s="9"/>
      <c r="P354" s="15"/>
    </row>
    <row r="355" spans="9:16" x14ac:dyDescent="0.2">
      <c r="I355" s="7"/>
      <c r="K355" s="8"/>
      <c r="L355" s="8"/>
      <c r="M355" s="8"/>
      <c r="N355" s="9"/>
      <c r="P355" s="15"/>
    </row>
    <row r="356" spans="9:16" x14ac:dyDescent="0.2">
      <c r="I356" s="7"/>
      <c r="K356" s="8"/>
      <c r="L356" s="8"/>
      <c r="M356" s="8"/>
      <c r="N356" s="9"/>
      <c r="P356" s="15"/>
    </row>
    <row r="357" spans="9:16" x14ac:dyDescent="0.2">
      <c r="I357" s="7"/>
      <c r="K357" s="8"/>
      <c r="L357" s="8"/>
      <c r="M357" s="8"/>
      <c r="N357" s="9"/>
      <c r="P357" s="15"/>
    </row>
    <row r="358" spans="9:16" x14ac:dyDescent="0.2">
      <c r="I358" s="7"/>
      <c r="K358" s="8"/>
      <c r="L358" s="8"/>
      <c r="M358" s="8"/>
      <c r="N358" s="9"/>
      <c r="P358" s="15"/>
    </row>
    <row r="359" spans="9:16" x14ac:dyDescent="0.2">
      <c r="I359" s="7"/>
      <c r="K359" s="8"/>
      <c r="L359" s="8"/>
      <c r="M359" s="8"/>
      <c r="N359" s="9"/>
      <c r="P359" s="15"/>
    </row>
    <row r="360" spans="9:16" x14ac:dyDescent="0.2">
      <c r="I360" s="7"/>
      <c r="K360" s="8"/>
      <c r="L360" s="8"/>
      <c r="M360" s="8"/>
      <c r="N360" s="9"/>
      <c r="P360" s="15"/>
    </row>
    <row r="361" spans="9:16" x14ac:dyDescent="0.2">
      <c r="I361" s="7"/>
      <c r="K361" s="8"/>
      <c r="L361" s="8"/>
      <c r="M361" s="8"/>
      <c r="N361" s="9"/>
      <c r="P361" s="15"/>
    </row>
    <row r="362" spans="9:16" x14ac:dyDescent="0.2">
      <c r="I362" s="7"/>
      <c r="K362" s="8"/>
      <c r="L362" s="8"/>
      <c r="M362" s="8"/>
      <c r="N362" s="9"/>
      <c r="P362" s="15"/>
    </row>
    <row r="363" spans="9:16" x14ac:dyDescent="0.2">
      <c r="I363" s="7"/>
      <c r="K363" s="8"/>
      <c r="L363" s="8"/>
      <c r="M363" s="8"/>
      <c r="N363" s="9"/>
      <c r="P363" s="15"/>
    </row>
    <row r="364" spans="9:16" x14ac:dyDescent="0.2">
      <c r="I364" s="7"/>
      <c r="K364" s="8"/>
      <c r="L364" s="8"/>
      <c r="M364" s="8"/>
      <c r="N364" s="9"/>
      <c r="P364" s="15"/>
    </row>
    <row r="365" spans="9:16" x14ac:dyDescent="0.2">
      <c r="I365" s="7"/>
      <c r="K365" s="8"/>
      <c r="L365" s="8"/>
      <c r="M365" s="8"/>
      <c r="N365" s="9"/>
      <c r="P365" s="15"/>
    </row>
    <row r="366" spans="9:16" x14ac:dyDescent="0.2">
      <c r="I366" s="7"/>
      <c r="K366" s="8"/>
      <c r="L366" s="8"/>
      <c r="M366" s="8"/>
      <c r="N366" s="9"/>
      <c r="P366" s="15"/>
    </row>
    <row r="367" spans="9:16" x14ac:dyDescent="0.2">
      <c r="I367" s="7"/>
      <c r="K367" s="8"/>
      <c r="L367" s="8"/>
      <c r="M367" s="8"/>
      <c r="N367" s="9"/>
      <c r="P367" s="15"/>
    </row>
    <row r="368" spans="9:16" x14ac:dyDescent="0.2">
      <c r="I368" s="7"/>
      <c r="K368" s="8"/>
      <c r="L368" s="8"/>
      <c r="M368" s="8"/>
      <c r="N368" s="9"/>
      <c r="P368" s="15"/>
    </row>
    <row r="369" spans="9:16" x14ac:dyDescent="0.2">
      <c r="I369" s="7"/>
      <c r="K369" s="8"/>
      <c r="L369" s="8"/>
      <c r="M369" s="8"/>
      <c r="N369" s="9"/>
      <c r="P369" s="15"/>
    </row>
    <row r="370" spans="9:16" x14ac:dyDescent="0.2">
      <c r="I370" s="7"/>
      <c r="K370" s="8"/>
      <c r="L370" s="8"/>
      <c r="M370" s="8"/>
      <c r="N370" s="9"/>
      <c r="P370" s="15"/>
    </row>
    <row r="371" spans="9:16" x14ac:dyDescent="0.2">
      <c r="I371" s="7"/>
      <c r="K371" s="8"/>
      <c r="L371" s="8"/>
      <c r="M371" s="8"/>
      <c r="N371" s="9"/>
      <c r="P371" s="15"/>
    </row>
    <row r="372" spans="9:16" x14ac:dyDescent="0.2">
      <c r="I372" s="7"/>
      <c r="K372" s="8"/>
      <c r="L372" s="8"/>
      <c r="M372" s="8"/>
      <c r="N372" s="9"/>
      <c r="P372" s="15"/>
    </row>
    <row r="373" spans="9:16" x14ac:dyDescent="0.2">
      <c r="I373" s="7"/>
      <c r="K373" s="8"/>
      <c r="L373" s="8"/>
      <c r="M373" s="8"/>
      <c r="N373" s="9"/>
      <c r="P373" s="15"/>
    </row>
    <row r="374" spans="9:16" x14ac:dyDescent="0.2">
      <c r="I374" s="7"/>
      <c r="K374" s="8"/>
      <c r="L374" s="8"/>
      <c r="M374" s="8"/>
      <c r="N374" s="9"/>
      <c r="P374" s="15"/>
    </row>
    <row r="375" spans="9:16" x14ac:dyDescent="0.2">
      <c r="I375" s="7"/>
      <c r="K375" s="8"/>
      <c r="L375" s="8"/>
      <c r="M375" s="8"/>
      <c r="N375" s="9"/>
      <c r="P375" s="15"/>
    </row>
    <row r="376" spans="9:16" x14ac:dyDescent="0.2">
      <c r="I376" s="7"/>
      <c r="K376" s="8"/>
      <c r="L376" s="8"/>
      <c r="M376" s="8"/>
      <c r="N376" s="9"/>
      <c r="P376" s="15"/>
    </row>
    <row r="377" spans="9:16" x14ac:dyDescent="0.2">
      <c r="I377" s="7"/>
      <c r="K377" s="8"/>
      <c r="L377" s="8"/>
      <c r="M377" s="8"/>
      <c r="N377" s="9"/>
      <c r="P377" s="15"/>
    </row>
    <row r="378" spans="9:16" x14ac:dyDescent="0.2">
      <c r="I378" s="7"/>
      <c r="K378" s="8"/>
      <c r="L378" s="8"/>
      <c r="M378" s="8"/>
      <c r="N378" s="9"/>
      <c r="P378" s="15"/>
    </row>
    <row r="379" spans="9:16" x14ac:dyDescent="0.2">
      <c r="I379" s="7"/>
      <c r="K379" s="8"/>
      <c r="L379" s="8"/>
      <c r="M379" s="8"/>
      <c r="N379" s="9"/>
      <c r="P379" s="15"/>
    </row>
    <row r="380" spans="9:16" x14ac:dyDescent="0.2">
      <c r="I380" s="7"/>
      <c r="K380" s="8"/>
      <c r="L380" s="8"/>
      <c r="M380" s="8"/>
      <c r="N380" s="9"/>
      <c r="P380" s="15"/>
    </row>
    <row r="381" spans="9:16" x14ac:dyDescent="0.2">
      <c r="I381" s="7"/>
      <c r="K381" s="8"/>
      <c r="L381" s="8"/>
      <c r="M381" s="8"/>
      <c r="N381" s="9"/>
      <c r="P381" s="15"/>
    </row>
    <row r="382" spans="9:16" x14ac:dyDescent="0.2">
      <c r="I382" s="7"/>
      <c r="K382" s="8"/>
      <c r="L382" s="8"/>
      <c r="M382" s="8"/>
      <c r="N382" s="9"/>
      <c r="P382" s="15"/>
    </row>
    <row r="383" spans="9:16" x14ac:dyDescent="0.2">
      <c r="I383" s="7"/>
      <c r="K383" s="8"/>
      <c r="L383" s="8"/>
      <c r="M383" s="8"/>
      <c r="N383" s="9"/>
      <c r="P383" s="15"/>
    </row>
    <row r="384" spans="9:16" x14ac:dyDescent="0.2">
      <c r="I384" s="7"/>
      <c r="K384" s="8"/>
      <c r="L384" s="8"/>
      <c r="M384" s="8"/>
      <c r="N384" s="9"/>
      <c r="P384" s="15"/>
    </row>
    <row r="385" spans="9:16" x14ac:dyDescent="0.2">
      <c r="I385" s="7"/>
      <c r="K385" s="8"/>
      <c r="L385" s="8"/>
      <c r="M385" s="8"/>
      <c r="N385" s="9"/>
      <c r="P385" s="15"/>
    </row>
    <row r="386" spans="9:16" x14ac:dyDescent="0.2">
      <c r="I386" s="7"/>
      <c r="K386" s="8"/>
      <c r="L386" s="8"/>
      <c r="M386" s="8"/>
      <c r="N386" s="9"/>
      <c r="P386" s="15"/>
    </row>
    <row r="387" spans="9:16" x14ac:dyDescent="0.2">
      <c r="I387" s="7"/>
      <c r="K387" s="8"/>
      <c r="L387" s="8"/>
      <c r="M387" s="8"/>
      <c r="N387" s="9"/>
      <c r="P387" s="15"/>
    </row>
    <row r="388" spans="9:16" x14ac:dyDescent="0.2">
      <c r="I388" s="7"/>
      <c r="K388" s="8"/>
      <c r="L388" s="8"/>
      <c r="M388" s="8"/>
      <c r="N388" s="9"/>
      <c r="P388" s="15"/>
    </row>
    <row r="389" spans="9:16" x14ac:dyDescent="0.2">
      <c r="I389" s="7"/>
      <c r="K389" s="8"/>
      <c r="L389" s="8"/>
      <c r="M389" s="8"/>
      <c r="N389" s="9"/>
      <c r="P389" s="15"/>
    </row>
    <row r="390" spans="9:16" x14ac:dyDescent="0.2">
      <c r="I390" s="7"/>
      <c r="K390" s="8"/>
      <c r="L390" s="8"/>
      <c r="M390" s="8"/>
      <c r="N390" s="9"/>
      <c r="P390" s="15"/>
    </row>
    <row r="391" spans="9:16" x14ac:dyDescent="0.2">
      <c r="I391" s="7"/>
      <c r="K391" s="8"/>
      <c r="L391" s="8"/>
      <c r="M391" s="8"/>
      <c r="N391" s="9"/>
      <c r="P391" s="15"/>
    </row>
    <row r="392" spans="9:16" x14ac:dyDescent="0.2">
      <c r="I392" s="7"/>
      <c r="K392" s="8"/>
      <c r="L392" s="8"/>
      <c r="M392" s="8"/>
      <c r="N392" s="9"/>
      <c r="P392" s="15"/>
    </row>
    <row r="393" spans="9:16" x14ac:dyDescent="0.2">
      <c r="I393" s="7"/>
      <c r="K393" s="8"/>
      <c r="L393" s="8"/>
      <c r="M393" s="8"/>
      <c r="N393" s="9"/>
      <c r="P393" s="15"/>
    </row>
    <row r="394" spans="9:16" x14ac:dyDescent="0.2">
      <c r="I394" s="7"/>
      <c r="K394" s="8"/>
      <c r="L394" s="8"/>
      <c r="M394" s="8"/>
      <c r="N394" s="9"/>
      <c r="P394" s="15"/>
    </row>
    <row r="395" spans="9:16" x14ac:dyDescent="0.2">
      <c r="I395" s="7"/>
      <c r="K395" s="8"/>
      <c r="L395" s="8"/>
      <c r="M395" s="8"/>
      <c r="N395" s="9"/>
      <c r="P395" s="15"/>
    </row>
    <row r="396" spans="9:16" x14ac:dyDescent="0.2">
      <c r="I396" s="7"/>
      <c r="K396" s="8"/>
      <c r="L396" s="8"/>
      <c r="M396" s="8"/>
      <c r="N396" s="9"/>
      <c r="P396" s="15"/>
    </row>
    <row r="397" spans="9:16" x14ac:dyDescent="0.2">
      <c r="I397" s="7"/>
      <c r="K397" s="8"/>
      <c r="L397" s="8"/>
      <c r="M397" s="8"/>
      <c r="N397" s="9"/>
      <c r="P397" s="15"/>
    </row>
    <row r="398" spans="9:16" x14ac:dyDescent="0.2">
      <c r="I398" s="7"/>
      <c r="K398" s="8"/>
      <c r="L398" s="8"/>
      <c r="M398" s="8"/>
      <c r="N398" s="9"/>
      <c r="P398" s="15"/>
    </row>
    <row r="399" spans="9:16" x14ac:dyDescent="0.2">
      <c r="I399" s="7"/>
      <c r="K399" s="8"/>
      <c r="L399" s="8"/>
      <c r="M399" s="8"/>
      <c r="N399" s="9"/>
      <c r="P399" s="15"/>
    </row>
    <row r="400" spans="9:16" x14ac:dyDescent="0.2">
      <c r="I400" s="7"/>
      <c r="K400" s="8"/>
      <c r="L400" s="8"/>
      <c r="M400" s="8"/>
      <c r="N400" s="9"/>
      <c r="P400" s="15"/>
    </row>
    <row r="401" spans="9:16" x14ac:dyDescent="0.2">
      <c r="I401" s="7"/>
      <c r="K401" s="8"/>
      <c r="L401" s="8"/>
      <c r="M401" s="8"/>
      <c r="N401" s="9"/>
      <c r="P401" s="15"/>
    </row>
    <row r="402" spans="9:16" x14ac:dyDescent="0.2">
      <c r="I402" s="7"/>
      <c r="K402" s="8"/>
      <c r="L402" s="8"/>
      <c r="M402" s="8"/>
      <c r="N402" s="9"/>
      <c r="P402" s="15"/>
    </row>
    <row r="403" spans="9:16" x14ac:dyDescent="0.2">
      <c r="I403" s="7"/>
      <c r="K403" s="8"/>
      <c r="L403" s="8"/>
      <c r="M403" s="8"/>
      <c r="N403" s="9"/>
      <c r="P403" s="15"/>
    </row>
    <row r="404" spans="9:16" x14ac:dyDescent="0.2">
      <c r="I404" s="7"/>
      <c r="K404" s="8"/>
      <c r="L404" s="8"/>
      <c r="M404" s="8"/>
      <c r="N404" s="9"/>
      <c r="P404" s="15"/>
    </row>
    <row r="405" spans="9:16" x14ac:dyDescent="0.2">
      <c r="I405" s="7"/>
      <c r="K405" s="8"/>
      <c r="L405" s="8"/>
      <c r="M405" s="8"/>
      <c r="N405" s="9"/>
      <c r="P405" s="15"/>
    </row>
    <row r="406" spans="9:16" x14ac:dyDescent="0.2">
      <c r="I406" s="7"/>
      <c r="K406" s="8"/>
      <c r="L406" s="8"/>
      <c r="M406" s="8"/>
      <c r="N406" s="9"/>
      <c r="P406" s="15"/>
    </row>
    <row r="407" spans="9:16" x14ac:dyDescent="0.2">
      <c r="I407" s="7"/>
      <c r="K407" s="8"/>
      <c r="L407" s="8"/>
      <c r="M407" s="8"/>
      <c r="N407" s="9"/>
      <c r="P407" s="15"/>
    </row>
    <row r="408" spans="9:16" x14ac:dyDescent="0.2">
      <c r="I408" s="7"/>
      <c r="K408" s="8"/>
      <c r="L408" s="8"/>
      <c r="M408" s="8"/>
      <c r="N408" s="9"/>
      <c r="P408" s="15"/>
    </row>
    <row r="409" spans="9:16" x14ac:dyDescent="0.2">
      <c r="I409" s="7"/>
      <c r="K409" s="8"/>
      <c r="L409" s="8"/>
      <c r="M409" s="8"/>
      <c r="N409" s="9"/>
      <c r="P409" s="15"/>
    </row>
    <row r="410" spans="9:16" x14ac:dyDescent="0.2">
      <c r="I410" s="7"/>
      <c r="K410" s="8"/>
      <c r="L410" s="8"/>
      <c r="M410" s="8"/>
      <c r="N410" s="9"/>
      <c r="P410" s="15"/>
    </row>
    <row r="411" spans="9:16" x14ac:dyDescent="0.2">
      <c r="I411" s="7"/>
      <c r="K411" s="8"/>
      <c r="L411" s="8"/>
      <c r="M411" s="8"/>
      <c r="N411" s="9"/>
      <c r="P411" s="15"/>
    </row>
    <row r="412" spans="9:16" x14ac:dyDescent="0.2">
      <c r="I412" s="7"/>
      <c r="K412" s="8"/>
      <c r="L412" s="8"/>
      <c r="M412" s="8"/>
      <c r="N412" s="9"/>
      <c r="P412" s="15"/>
    </row>
    <row r="413" spans="9:16" x14ac:dyDescent="0.2">
      <c r="I413" s="7"/>
      <c r="K413" s="8"/>
      <c r="L413" s="8"/>
      <c r="M413" s="8"/>
      <c r="N413" s="9"/>
      <c r="P413" s="15"/>
    </row>
    <row r="414" spans="9:16" x14ac:dyDescent="0.2">
      <c r="I414" s="7"/>
      <c r="K414" s="8"/>
      <c r="L414" s="8"/>
      <c r="M414" s="8"/>
      <c r="N414" s="9"/>
      <c r="P414" s="15"/>
    </row>
    <row r="415" spans="9:16" x14ac:dyDescent="0.2">
      <c r="I415" s="7"/>
      <c r="K415" s="8"/>
      <c r="L415" s="8"/>
      <c r="M415" s="8"/>
      <c r="N415" s="9"/>
      <c r="P415" s="15"/>
    </row>
    <row r="416" spans="9:16" x14ac:dyDescent="0.2">
      <c r="I416" s="7"/>
      <c r="K416" s="8"/>
      <c r="L416" s="8"/>
      <c r="M416" s="8"/>
      <c r="N416" s="9"/>
      <c r="P416" s="15"/>
    </row>
    <row r="417" spans="9:16" x14ac:dyDescent="0.2">
      <c r="I417" s="7"/>
      <c r="K417" s="8"/>
      <c r="L417" s="8"/>
      <c r="M417" s="8"/>
      <c r="N417" s="9"/>
      <c r="P417" s="15"/>
    </row>
    <row r="418" spans="9:16" x14ac:dyDescent="0.2">
      <c r="I418" s="7"/>
      <c r="K418" s="8"/>
      <c r="L418" s="8"/>
      <c r="M418" s="8"/>
      <c r="N418" s="9"/>
      <c r="P418" s="15"/>
    </row>
    <row r="419" spans="9:16" x14ac:dyDescent="0.2">
      <c r="I419" s="7"/>
      <c r="K419" s="8"/>
      <c r="L419" s="8"/>
      <c r="M419" s="8"/>
      <c r="N419" s="9"/>
      <c r="P419" s="15"/>
    </row>
    <row r="420" spans="9:16" x14ac:dyDescent="0.2">
      <c r="I420" s="7"/>
      <c r="K420" s="8"/>
      <c r="L420" s="8"/>
      <c r="M420" s="8"/>
      <c r="N420" s="9"/>
      <c r="P420" s="15"/>
    </row>
    <row r="421" spans="9:16" x14ac:dyDescent="0.2">
      <c r="I421" s="7"/>
      <c r="K421" s="8"/>
      <c r="L421" s="8"/>
      <c r="M421" s="8"/>
      <c r="N421" s="9"/>
      <c r="P421" s="15"/>
    </row>
    <row r="422" spans="9:16" x14ac:dyDescent="0.2">
      <c r="I422" s="7"/>
      <c r="K422" s="8"/>
      <c r="L422" s="8"/>
      <c r="M422" s="8"/>
      <c r="N422" s="9"/>
      <c r="P422" s="15"/>
    </row>
    <row r="423" spans="9:16" x14ac:dyDescent="0.2">
      <c r="I423" s="7"/>
      <c r="K423" s="8"/>
      <c r="L423" s="8"/>
      <c r="M423" s="8"/>
      <c r="N423" s="9"/>
      <c r="P423" s="15"/>
    </row>
    <row r="424" spans="9:16" x14ac:dyDescent="0.2">
      <c r="I424" s="7"/>
      <c r="K424" s="8"/>
      <c r="L424" s="8"/>
      <c r="M424" s="8"/>
      <c r="N424" s="9"/>
      <c r="P424" s="15"/>
    </row>
    <row r="425" spans="9:16" x14ac:dyDescent="0.2">
      <c r="I425" s="7"/>
      <c r="K425" s="8"/>
      <c r="L425" s="8"/>
      <c r="M425" s="8"/>
      <c r="N425" s="9"/>
      <c r="P425" s="15"/>
    </row>
    <row r="426" spans="9:16" x14ac:dyDescent="0.2">
      <c r="I426" s="7"/>
      <c r="K426" s="8"/>
      <c r="L426" s="8"/>
      <c r="M426" s="8"/>
      <c r="N426" s="9"/>
      <c r="P426" s="15"/>
    </row>
    <row r="427" spans="9:16" x14ac:dyDescent="0.2">
      <c r="I427" s="7"/>
      <c r="K427" s="8"/>
      <c r="L427" s="8"/>
      <c r="M427" s="8"/>
      <c r="N427" s="9"/>
      <c r="P427" s="15"/>
    </row>
    <row r="428" spans="9:16" x14ac:dyDescent="0.2">
      <c r="I428" s="7"/>
      <c r="K428" s="8"/>
      <c r="L428" s="8"/>
      <c r="M428" s="8"/>
      <c r="N428" s="9"/>
      <c r="P428" s="15"/>
    </row>
    <row r="429" spans="9:16" x14ac:dyDescent="0.2">
      <c r="I429" s="7"/>
      <c r="K429" s="8"/>
      <c r="L429" s="8"/>
      <c r="M429" s="8"/>
      <c r="N429" s="9"/>
      <c r="P429" s="15"/>
    </row>
    <row r="430" spans="9:16" x14ac:dyDescent="0.2">
      <c r="I430" s="7"/>
      <c r="K430" s="8"/>
      <c r="L430" s="8"/>
      <c r="M430" s="8"/>
      <c r="N430" s="9"/>
      <c r="P430" s="15"/>
    </row>
    <row r="431" spans="9:16" x14ac:dyDescent="0.2">
      <c r="I431" s="7"/>
      <c r="K431" s="8"/>
      <c r="L431" s="8"/>
      <c r="M431" s="8"/>
      <c r="N431" s="9"/>
      <c r="P431" s="15"/>
    </row>
    <row r="432" spans="9:16" x14ac:dyDescent="0.2">
      <c r="I432" s="7"/>
      <c r="K432" s="8"/>
      <c r="L432" s="8"/>
      <c r="M432" s="8"/>
      <c r="N432" s="9"/>
      <c r="P432" s="15"/>
    </row>
    <row r="433" spans="9:16" x14ac:dyDescent="0.2">
      <c r="I433" s="7"/>
      <c r="K433" s="8"/>
      <c r="L433" s="8"/>
      <c r="M433" s="8"/>
      <c r="N433" s="9"/>
      <c r="P433" s="15"/>
    </row>
    <row r="434" spans="9:16" x14ac:dyDescent="0.2">
      <c r="I434" s="7"/>
      <c r="K434" s="8"/>
      <c r="L434" s="8"/>
      <c r="M434" s="8"/>
      <c r="N434" s="9"/>
      <c r="P434" s="15"/>
    </row>
    <row r="435" spans="9:16" x14ac:dyDescent="0.2">
      <c r="I435" s="7"/>
      <c r="K435" s="8"/>
      <c r="L435" s="8"/>
      <c r="M435" s="8"/>
      <c r="N435" s="9"/>
      <c r="P435" s="15"/>
    </row>
    <row r="436" spans="9:16" x14ac:dyDescent="0.2">
      <c r="I436" s="7"/>
      <c r="K436" s="8"/>
      <c r="L436" s="8"/>
      <c r="M436" s="8"/>
      <c r="N436" s="9"/>
      <c r="P436" s="15"/>
    </row>
    <row r="437" spans="9:16" x14ac:dyDescent="0.2">
      <c r="I437" s="7"/>
      <c r="K437" s="8"/>
      <c r="L437" s="8"/>
      <c r="M437" s="8"/>
      <c r="N437" s="9"/>
      <c r="P437" s="15"/>
    </row>
    <row r="438" spans="9:16" x14ac:dyDescent="0.2">
      <c r="I438" s="7"/>
      <c r="K438" s="8"/>
      <c r="L438" s="8"/>
      <c r="M438" s="8"/>
      <c r="N438" s="9"/>
      <c r="P438" s="15"/>
    </row>
    <row r="439" spans="9:16" x14ac:dyDescent="0.2">
      <c r="I439" s="7"/>
      <c r="K439" s="8"/>
      <c r="L439" s="8"/>
      <c r="M439" s="8"/>
      <c r="N439" s="9"/>
      <c r="P439" s="15"/>
    </row>
    <row r="440" spans="9:16" x14ac:dyDescent="0.2">
      <c r="I440" s="7"/>
      <c r="K440" s="8"/>
      <c r="L440" s="8"/>
      <c r="M440" s="8"/>
      <c r="N440" s="9"/>
      <c r="P440" s="15"/>
    </row>
    <row r="441" spans="9:16" x14ac:dyDescent="0.2">
      <c r="I441" s="7"/>
      <c r="K441" s="8"/>
      <c r="L441" s="8"/>
      <c r="M441" s="8"/>
      <c r="N441" s="9"/>
      <c r="P441" s="15"/>
    </row>
    <row r="442" spans="9:16" x14ac:dyDescent="0.2">
      <c r="I442" s="7"/>
      <c r="K442" s="8"/>
      <c r="L442" s="8"/>
      <c r="M442" s="8"/>
      <c r="N442" s="9"/>
      <c r="P442" s="15"/>
    </row>
    <row r="443" spans="9:16" x14ac:dyDescent="0.2">
      <c r="I443" s="7"/>
      <c r="K443" s="8"/>
      <c r="L443" s="8"/>
      <c r="M443" s="8"/>
      <c r="N443" s="9"/>
      <c r="P443" s="15"/>
    </row>
    <row r="444" spans="9:16" x14ac:dyDescent="0.2">
      <c r="I444" s="7"/>
      <c r="K444" s="8"/>
      <c r="L444" s="8"/>
      <c r="M444" s="8"/>
      <c r="N444" s="9"/>
      <c r="P444" s="15"/>
    </row>
    <row r="445" spans="9:16" x14ac:dyDescent="0.2">
      <c r="I445" s="7"/>
      <c r="K445" s="8"/>
      <c r="L445" s="8"/>
      <c r="M445" s="8"/>
      <c r="N445" s="9"/>
      <c r="P445" s="15"/>
    </row>
    <row r="446" spans="9:16" x14ac:dyDescent="0.2">
      <c r="I446" s="7"/>
      <c r="K446" s="8"/>
      <c r="L446" s="8"/>
      <c r="M446" s="8"/>
      <c r="N446" s="9"/>
      <c r="P446" s="15"/>
    </row>
    <row r="447" spans="9:16" x14ac:dyDescent="0.2">
      <c r="I447" s="7"/>
      <c r="K447" s="8"/>
      <c r="L447" s="8"/>
      <c r="M447" s="8"/>
      <c r="N447" s="9"/>
      <c r="P447" s="15"/>
    </row>
    <row r="448" spans="9:16" x14ac:dyDescent="0.2">
      <c r="I448" s="7"/>
      <c r="K448" s="8"/>
      <c r="L448" s="8"/>
      <c r="M448" s="8"/>
      <c r="N448" s="9"/>
      <c r="P448" s="15"/>
    </row>
    <row r="449" spans="9:16" x14ac:dyDescent="0.2">
      <c r="I449" s="7"/>
      <c r="K449" s="8"/>
      <c r="L449" s="8"/>
      <c r="M449" s="8"/>
      <c r="N449" s="9"/>
      <c r="P449" s="15"/>
    </row>
    <row r="450" spans="9:16" x14ac:dyDescent="0.2">
      <c r="I450" s="7"/>
      <c r="K450" s="8"/>
      <c r="L450" s="8"/>
      <c r="M450" s="8"/>
      <c r="N450" s="9"/>
      <c r="P450" s="15"/>
    </row>
    <row r="451" spans="9:16" x14ac:dyDescent="0.2">
      <c r="I451" s="7"/>
      <c r="K451" s="8"/>
      <c r="L451" s="8"/>
      <c r="M451" s="8"/>
      <c r="N451" s="9"/>
      <c r="P451" s="15"/>
    </row>
    <row r="452" spans="9:16" x14ac:dyDescent="0.2">
      <c r="I452" s="7"/>
      <c r="K452" s="8"/>
      <c r="L452" s="8"/>
      <c r="M452" s="8"/>
      <c r="N452" s="9"/>
      <c r="P452" s="15"/>
    </row>
    <row r="453" spans="9:16" x14ac:dyDescent="0.2">
      <c r="I453" s="7"/>
      <c r="K453" s="8"/>
      <c r="L453" s="8"/>
      <c r="M453" s="8"/>
      <c r="N453" s="9"/>
      <c r="P453" s="15"/>
    </row>
    <row r="454" spans="9:16" x14ac:dyDescent="0.2">
      <c r="I454" s="7"/>
      <c r="K454" s="8"/>
      <c r="L454" s="8"/>
      <c r="M454" s="8"/>
      <c r="N454" s="9"/>
      <c r="P454" s="15"/>
    </row>
    <row r="455" spans="9:16" x14ac:dyDescent="0.2">
      <c r="I455" s="7"/>
      <c r="K455" s="8"/>
      <c r="L455" s="8"/>
      <c r="M455" s="8"/>
      <c r="N455" s="9"/>
      <c r="P455" s="15"/>
    </row>
    <row r="456" spans="9:16" x14ac:dyDescent="0.2">
      <c r="I456" s="7"/>
      <c r="K456" s="8"/>
      <c r="L456" s="8"/>
      <c r="M456" s="8"/>
      <c r="N456" s="9"/>
      <c r="P456" s="15"/>
    </row>
    <row r="457" spans="9:16" x14ac:dyDescent="0.2">
      <c r="I457" s="7"/>
      <c r="K457" s="8"/>
      <c r="L457" s="8"/>
      <c r="M457" s="8"/>
      <c r="N457" s="9"/>
      <c r="P457" s="15"/>
    </row>
    <row r="458" spans="9:16" x14ac:dyDescent="0.2">
      <c r="I458" s="7"/>
      <c r="K458" s="8"/>
      <c r="L458" s="8"/>
      <c r="M458" s="8"/>
      <c r="N458" s="9"/>
      <c r="P458" s="15"/>
    </row>
    <row r="459" spans="9:16" x14ac:dyDescent="0.2">
      <c r="I459" s="7"/>
      <c r="K459" s="8"/>
      <c r="L459" s="8"/>
      <c r="M459" s="8"/>
      <c r="N459" s="9"/>
      <c r="P459" s="15"/>
    </row>
    <row r="460" spans="9:16" x14ac:dyDescent="0.2">
      <c r="I460" s="7"/>
      <c r="K460" s="8"/>
      <c r="L460" s="8"/>
      <c r="M460" s="8"/>
      <c r="N460" s="9"/>
      <c r="P460" s="15"/>
    </row>
    <row r="461" spans="9:16" x14ac:dyDescent="0.2">
      <c r="I461" s="7"/>
      <c r="K461" s="8"/>
      <c r="L461" s="8"/>
      <c r="M461" s="8"/>
      <c r="N461" s="9"/>
      <c r="P461" s="15"/>
    </row>
    <row r="462" spans="9:16" x14ac:dyDescent="0.2">
      <c r="I462" s="7"/>
      <c r="K462" s="8"/>
      <c r="L462" s="8"/>
      <c r="M462" s="8"/>
      <c r="N462" s="9"/>
      <c r="P462" s="15"/>
    </row>
    <row r="463" spans="9:16" x14ac:dyDescent="0.2">
      <c r="I463" s="7"/>
      <c r="K463" s="8"/>
      <c r="L463" s="8"/>
      <c r="M463" s="8"/>
      <c r="N463" s="9"/>
      <c r="P463" s="15"/>
    </row>
    <row r="464" spans="9:16" x14ac:dyDescent="0.2">
      <c r="I464" s="7"/>
      <c r="K464" s="8"/>
      <c r="L464" s="8"/>
      <c r="M464" s="8"/>
      <c r="N464" s="9"/>
      <c r="P464" s="15"/>
    </row>
    <row r="465" spans="9:16" x14ac:dyDescent="0.2">
      <c r="I465" s="7"/>
      <c r="K465" s="8"/>
      <c r="L465" s="8"/>
      <c r="M465" s="8"/>
      <c r="N465" s="9"/>
      <c r="P465" s="15"/>
    </row>
    <row r="466" spans="9:16" x14ac:dyDescent="0.2">
      <c r="I466" s="7"/>
      <c r="K466" s="8"/>
      <c r="L466" s="8"/>
      <c r="M466" s="8"/>
      <c r="N466" s="9"/>
      <c r="P466" s="15"/>
    </row>
    <row r="467" spans="9:16" x14ac:dyDescent="0.2">
      <c r="I467" s="7"/>
      <c r="K467" s="8"/>
      <c r="L467" s="8"/>
      <c r="M467" s="8"/>
      <c r="N467" s="9"/>
      <c r="P467" s="15"/>
    </row>
    <row r="468" spans="9:16" x14ac:dyDescent="0.2">
      <c r="I468" s="7"/>
      <c r="K468" s="8"/>
      <c r="L468" s="8"/>
      <c r="M468" s="8"/>
      <c r="N468" s="9"/>
      <c r="P468" s="15"/>
    </row>
    <row r="469" spans="9:16" x14ac:dyDescent="0.2">
      <c r="I469" s="7"/>
      <c r="K469" s="8"/>
      <c r="L469" s="8"/>
      <c r="M469" s="8"/>
      <c r="N469" s="9"/>
      <c r="P469" s="15"/>
    </row>
    <row r="470" spans="9:16" x14ac:dyDescent="0.2">
      <c r="I470" s="7"/>
      <c r="K470" s="8"/>
      <c r="L470" s="8"/>
      <c r="M470" s="8"/>
      <c r="N470" s="9"/>
      <c r="P470" s="15"/>
    </row>
    <row r="471" spans="9:16" x14ac:dyDescent="0.2">
      <c r="I471" s="7"/>
      <c r="K471" s="8"/>
      <c r="L471" s="8"/>
      <c r="M471" s="8"/>
      <c r="N471" s="9"/>
      <c r="P471" s="15"/>
    </row>
    <row r="472" spans="9:16" x14ac:dyDescent="0.2">
      <c r="I472" s="7"/>
      <c r="K472" s="8"/>
      <c r="L472" s="8"/>
      <c r="M472" s="8"/>
      <c r="N472" s="9"/>
      <c r="P472" s="15"/>
    </row>
    <row r="473" spans="9:16" x14ac:dyDescent="0.2">
      <c r="I473" s="7"/>
      <c r="K473" s="8"/>
      <c r="L473" s="8"/>
      <c r="M473" s="8"/>
      <c r="N473" s="9"/>
      <c r="P473" s="15"/>
    </row>
    <row r="474" spans="9:16" x14ac:dyDescent="0.2">
      <c r="I474" s="7"/>
      <c r="K474" s="8"/>
      <c r="L474" s="8"/>
      <c r="M474" s="8"/>
      <c r="N474" s="9"/>
      <c r="P474" s="15"/>
    </row>
    <row r="475" spans="9:16" x14ac:dyDescent="0.2">
      <c r="I475" s="7"/>
      <c r="K475" s="8"/>
      <c r="L475" s="8"/>
      <c r="M475" s="8"/>
      <c r="N475" s="9"/>
      <c r="P475" s="15"/>
    </row>
    <row r="476" spans="9:16" x14ac:dyDescent="0.2">
      <c r="I476" s="7"/>
      <c r="K476" s="8"/>
      <c r="L476" s="8"/>
      <c r="M476" s="8"/>
      <c r="N476" s="9"/>
      <c r="P476" s="15"/>
    </row>
    <row r="477" spans="9:16" x14ac:dyDescent="0.2">
      <c r="I477" s="7"/>
      <c r="K477" s="8"/>
      <c r="L477" s="8"/>
      <c r="M477" s="8"/>
      <c r="N477" s="9"/>
      <c r="P477" s="15"/>
    </row>
    <row r="478" spans="9:16" x14ac:dyDescent="0.2">
      <c r="I478" s="7"/>
      <c r="K478" s="8"/>
      <c r="L478" s="8"/>
      <c r="M478" s="8"/>
      <c r="N478" s="9"/>
      <c r="P478" s="15"/>
    </row>
    <row r="479" spans="9:16" x14ac:dyDescent="0.2">
      <c r="I479" s="7"/>
      <c r="K479" s="8"/>
      <c r="L479" s="8"/>
      <c r="M479" s="8"/>
      <c r="N479" s="9"/>
      <c r="P479" s="15"/>
    </row>
    <row r="480" spans="9:16" x14ac:dyDescent="0.2">
      <c r="I480" s="7"/>
      <c r="K480" s="8"/>
      <c r="L480" s="8"/>
      <c r="M480" s="8"/>
      <c r="N480" s="9"/>
      <c r="P480" s="15"/>
    </row>
    <row r="481" spans="9:16" x14ac:dyDescent="0.2">
      <c r="I481" s="7"/>
      <c r="K481" s="8"/>
      <c r="L481" s="8"/>
      <c r="M481" s="8"/>
      <c r="N481" s="9"/>
      <c r="P481" s="15"/>
    </row>
    <row r="482" spans="9:16" x14ac:dyDescent="0.2">
      <c r="I482" s="7"/>
      <c r="K482" s="8"/>
      <c r="L482" s="8"/>
      <c r="M482" s="8"/>
      <c r="N482" s="9"/>
      <c r="P482" s="15"/>
    </row>
    <row r="483" spans="9:16" x14ac:dyDescent="0.2">
      <c r="I483" s="7"/>
      <c r="K483" s="8"/>
      <c r="L483" s="8"/>
      <c r="M483" s="8"/>
      <c r="N483" s="9"/>
      <c r="P483" s="15"/>
    </row>
    <row r="484" spans="9:16" x14ac:dyDescent="0.2">
      <c r="I484" s="7"/>
      <c r="K484" s="8"/>
      <c r="L484" s="8"/>
      <c r="M484" s="8"/>
      <c r="N484" s="9"/>
      <c r="P484" s="15"/>
    </row>
    <row r="485" spans="9:16" x14ac:dyDescent="0.2">
      <c r="I485" s="7"/>
      <c r="K485" s="8"/>
      <c r="L485" s="8"/>
      <c r="M485" s="8"/>
      <c r="N485" s="9"/>
      <c r="P485" s="15"/>
    </row>
    <row r="486" spans="9:16" x14ac:dyDescent="0.2">
      <c r="I486" s="7"/>
      <c r="K486" s="8"/>
      <c r="L486" s="8"/>
      <c r="M486" s="8"/>
      <c r="N486" s="9"/>
      <c r="P486" s="15"/>
    </row>
    <row r="487" spans="9:16" x14ac:dyDescent="0.2">
      <c r="I487" s="7"/>
      <c r="K487" s="8"/>
      <c r="L487" s="8"/>
      <c r="M487" s="8"/>
      <c r="N487" s="9"/>
      <c r="P487" s="15"/>
    </row>
    <row r="488" spans="9:16" x14ac:dyDescent="0.2">
      <c r="I488" s="7"/>
      <c r="K488" s="8"/>
      <c r="L488" s="8"/>
      <c r="M488" s="8"/>
      <c r="N488" s="9"/>
      <c r="P488" s="15"/>
    </row>
    <row r="489" spans="9:16" x14ac:dyDescent="0.2">
      <c r="I489" s="7"/>
      <c r="K489" s="8"/>
      <c r="L489" s="8"/>
      <c r="M489" s="8"/>
      <c r="N489" s="9"/>
      <c r="P489" s="15"/>
    </row>
    <row r="490" spans="9:16" x14ac:dyDescent="0.2">
      <c r="I490" s="7"/>
      <c r="K490" s="8"/>
      <c r="L490" s="8"/>
      <c r="M490" s="8"/>
      <c r="N490" s="9"/>
      <c r="P490" s="15"/>
    </row>
    <row r="491" spans="9:16" x14ac:dyDescent="0.2">
      <c r="I491" s="7"/>
      <c r="K491" s="8"/>
      <c r="L491" s="8"/>
      <c r="M491" s="8"/>
      <c r="N491" s="9"/>
      <c r="P491" s="15"/>
    </row>
    <row r="492" spans="9:16" x14ac:dyDescent="0.2">
      <c r="I492" s="7"/>
      <c r="K492" s="8"/>
      <c r="L492" s="8"/>
      <c r="M492" s="8"/>
      <c r="N492" s="9"/>
      <c r="P492" s="15"/>
    </row>
    <row r="493" spans="9:16" x14ac:dyDescent="0.2">
      <c r="I493" s="7"/>
      <c r="K493" s="8"/>
      <c r="L493" s="8"/>
      <c r="M493" s="8"/>
      <c r="N493" s="9"/>
      <c r="P493" s="15"/>
    </row>
    <row r="494" spans="9:16" x14ac:dyDescent="0.2">
      <c r="I494" s="7"/>
      <c r="K494" s="8"/>
      <c r="L494" s="8"/>
      <c r="M494" s="8"/>
      <c r="N494" s="9"/>
      <c r="P494" s="15"/>
    </row>
    <row r="495" spans="9:16" x14ac:dyDescent="0.2">
      <c r="I495" s="7"/>
      <c r="K495" s="8"/>
      <c r="L495" s="8"/>
      <c r="M495" s="8"/>
      <c r="N495" s="9"/>
      <c r="P495" s="15"/>
    </row>
    <row r="496" spans="9:16" x14ac:dyDescent="0.2">
      <c r="I496" s="7"/>
      <c r="K496" s="8"/>
      <c r="L496" s="8"/>
      <c r="M496" s="8"/>
      <c r="N496" s="9"/>
      <c r="P496" s="15"/>
    </row>
    <row r="497" spans="9:16" x14ac:dyDescent="0.2">
      <c r="I497" s="7"/>
      <c r="K497" s="8"/>
      <c r="L497" s="8"/>
      <c r="M497" s="8"/>
      <c r="N497" s="9"/>
      <c r="P497" s="15"/>
    </row>
    <row r="498" spans="9:16" x14ac:dyDescent="0.2">
      <c r="I498" s="7"/>
      <c r="K498" s="8"/>
      <c r="L498" s="8"/>
      <c r="M498" s="8"/>
      <c r="N498" s="9"/>
      <c r="P498" s="15"/>
    </row>
    <row r="499" spans="9:16" x14ac:dyDescent="0.2">
      <c r="I499" s="7"/>
      <c r="K499" s="8"/>
      <c r="L499" s="8"/>
      <c r="M499" s="8"/>
      <c r="N499" s="9"/>
      <c r="P499" s="15"/>
    </row>
    <row r="500" spans="9:16" x14ac:dyDescent="0.2">
      <c r="I500" s="7"/>
      <c r="K500" s="8"/>
      <c r="L500" s="8"/>
      <c r="M500" s="8"/>
      <c r="N500" s="9"/>
      <c r="P500" s="15"/>
    </row>
    <row r="501" spans="9:16" x14ac:dyDescent="0.2">
      <c r="I501" s="7"/>
      <c r="K501" s="8"/>
      <c r="L501" s="8"/>
      <c r="M501" s="8"/>
      <c r="N501" s="9"/>
      <c r="P501" s="15"/>
    </row>
    <row r="502" spans="9:16" x14ac:dyDescent="0.2">
      <c r="I502" s="7"/>
      <c r="K502" s="8"/>
      <c r="L502" s="8"/>
      <c r="M502" s="8"/>
      <c r="N502" s="9"/>
      <c r="P502" s="15"/>
    </row>
    <row r="503" spans="9:16" x14ac:dyDescent="0.2">
      <c r="I503" s="7"/>
      <c r="K503" s="8"/>
      <c r="L503" s="8"/>
      <c r="M503" s="8"/>
      <c r="N503" s="9"/>
      <c r="P503" s="15"/>
    </row>
    <row r="504" spans="9:16" x14ac:dyDescent="0.2">
      <c r="I504" s="7"/>
      <c r="K504" s="8"/>
      <c r="L504" s="8"/>
      <c r="M504" s="8"/>
      <c r="N504" s="9"/>
      <c r="P504" s="15"/>
    </row>
    <row r="505" spans="9:16" x14ac:dyDescent="0.2">
      <c r="I505" s="7"/>
      <c r="K505" s="8"/>
      <c r="L505" s="8"/>
      <c r="M505" s="8"/>
      <c r="N505" s="9"/>
      <c r="P505" s="15"/>
    </row>
    <row r="506" spans="9:16" x14ac:dyDescent="0.2">
      <c r="I506" s="7"/>
      <c r="K506" s="8"/>
      <c r="L506" s="8"/>
      <c r="M506" s="8"/>
      <c r="N506" s="9"/>
      <c r="P506" s="15"/>
    </row>
    <row r="507" spans="9:16" x14ac:dyDescent="0.2">
      <c r="I507" s="7"/>
      <c r="K507" s="8"/>
      <c r="L507" s="8"/>
      <c r="M507" s="8"/>
      <c r="N507" s="9"/>
      <c r="P507" s="15"/>
    </row>
    <row r="508" spans="9:16" x14ac:dyDescent="0.2">
      <c r="I508" s="7"/>
      <c r="K508" s="8"/>
      <c r="L508" s="8"/>
      <c r="M508" s="8"/>
      <c r="N508" s="9"/>
      <c r="P508" s="15"/>
    </row>
    <row r="509" spans="9:16" x14ac:dyDescent="0.2">
      <c r="I509" s="7"/>
      <c r="K509" s="8"/>
      <c r="L509" s="8"/>
      <c r="M509" s="8"/>
      <c r="N509" s="9"/>
      <c r="P509" s="15"/>
    </row>
    <row r="510" spans="9:16" x14ac:dyDescent="0.2">
      <c r="I510" s="7"/>
      <c r="K510" s="8"/>
      <c r="L510" s="8"/>
      <c r="M510" s="8"/>
      <c r="N510" s="9"/>
      <c r="P510" s="15"/>
    </row>
    <row r="511" spans="9:16" x14ac:dyDescent="0.2">
      <c r="I511" s="7"/>
      <c r="K511" s="8"/>
      <c r="L511" s="8"/>
      <c r="M511" s="8"/>
      <c r="N511" s="9"/>
      <c r="P511" s="15"/>
    </row>
    <row r="512" spans="9:16" x14ac:dyDescent="0.2">
      <c r="I512" s="7"/>
      <c r="K512" s="8"/>
      <c r="L512" s="8"/>
      <c r="M512" s="8"/>
      <c r="N512" s="9"/>
      <c r="P512" s="15"/>
    </row>
    <row r="513" spans="9:16" x14ac:dyDescent="0.2">
      <c r="I513" s="7"/>
      <c r="K513" s="8"/>
      <c r="L513" s="8"/>
      <c r="M513" s="8"/>
      <c r="N513" s="9"/>
      <c r="P513" s="15"/>
    </row>
    <row r="514" spans="9:16" x14ac:dyDescent="0.2">
      <c r="I514" s="7"/>
      <c r="K514" s="8"/>
      <c r="L514" s="8"/>
      <c r="M514" s="8"/>
      <c r="N514" s="9"/>
      <c r="P514" s="15"/>
    </row>
    <row r="515" spans="9:16" x14ac:dyDescent="0.2">
      <c r="I515" s="7"/>
      <c r="K515" s="8"/>
      <c r="L515" s="8"/>
      <c r="M515" s="8"/>
      <c r="N515" s="9"/>
      <c r="P515" s="15"/>
    </row>
    <row r="516" spans="9:16" x14ac:dyDescent="0.2">
      <c r="I516" s="7"/>
      <c r="K516" s="8"/>
      <c r="L516" s="8"/>
      <c r="M516" s="8"/>
      <c r="N516" s="9"/>
      <c r="P516" s="15"/>
    </row>
    <row r="517" spans="9:16" x14ac:dyDescent="0.2">
      <c r="I517" s="7"/>
      <c r="K517" s="8"/>
      <c r="L517" s="8"/>
      <c r="M517" s="8"/>
      <c r="N517" s="9"/>
      <c r="P517" s="15"/>
    </row>
    <row r="518" spans="9:16" x14ac:dyDescent="0.2">
      <c r="I518" s="7"/>
      <c r="K518" s="8"/>
      <c r="L518" s="8"/>
      <c r="M518" s="8"/>
      <c r="N518" s="9"/>
      <c r="P518" s="15"/>
    </row>
    <row r="519" spans="9:16" x14ac:dyDescent="0.2">
      <c r="I519" s="7"/>
      <c r="K519" s="8"/>
      <c r="L519" s="8"/>
      <c r="M519" s="8"/>
      <c r="N519" s="9"/>
      <c r="P519" s="15"/>
    </row>
    <row r="520" spans="9:16" x14ac:dyDescent="0.2">
      <c r="I520" s="7"/>
      <c r="K520" s="8"/>
      <c r="L520" s="8"/>
      <c r="M520" s="8"/>
      <c r="N520" s="9"/>
      <c r="P520" s="15"/>
    </row>
    <row r="521" spans="9:16" x14ac:dyDescent="0.2">
      <c r="I521" s="7"/>
      <c r="K521" s="8"/>
      <c r="L521" s="8"/>
      <c r="M521" s="8"/>
      <c r="N521" s="9"/>
      <c r="P521" s="15"/>
    </row>
    <row r="522" spans="9:16" x14ac:dyDescent="0.2">
      <c r="I522" s="7"/>
      <c r="K522" s="8"/>
      <c r="L522" s="8"/>
      <c r="M522" s="8"/>
      <c r="N522" s="9"/>
      <c r="P522" s="15"/>
    </row>
    <row r="523" spans="9:16" x14ac:dyDescent="0.2">
      <c r="I523" s="7"/>
      <c r="K523" s="8"/>
      <c r="L523" s="8"/>
      <c r="M523" s="8"/>
      <c r="N523" s="9"/>
      <c r="P523" s="15"/>
    </row>
    <row r="524" spans="9:16" x14ac:dyDescent="0.2">
      <c r="I524" s="7"/>
      <c r="K524" s="8"/>
      <c r="L524" s="8"/>
      <c r="M524" s="8"/>
      <c r="N524" s="9"/>
      <c r="P524" s="15"/>
    </row>
    <row r="525" spans="9:16" x14ac:dyDescent="0.2">
      <c r="I525" s="7"/>
      <c r="K525" s="8"/>
      <c r="L525" s="8"/>
      <c r="M525" s="8"/>
      <c r="N525" s="9"/>
      <c r="P525" s="15"/>
    </row>
    <row r="526" spans="9:16" x14ac:dyDescent="0.2">
      <c r="I526" s="7"/>
      <c r="K526" s="8"/>
      <c r="L526" s="8"/>
      <c r="M526" s="8"/>
      <c r="N526" s="9"/>
      <c r="P526" s="15"/>
    </row>
    <row r="527" spans="9:16" x14ac:dyDescent="0.2">
      <c r="I527" s="7"/>
      <c r="K527" s="8"/>
      <c r="L527" s="8"/>
      <c r="M527" s="8"/>
      <c r="N527" s="9"/>
      <c r="P527" s="15"/>
    </row>
    <row r="528" spans="9:16" x14ac:dyDescent="0.2">
      <c r="I528" s="7"/>
      <c r="K528" s="8"/>
      <c r="L528" s="8"/>
      <c r="M528" s="8"/>
      <c r="N528" s="9"/>
      <c r="P528" s="15"/>
    </row>
    <row r="529" spans="9:16" x14ac:dyDescent="0.2">
      <c r="I529" s="7"/>
      <c r="K529" s="8"/>
      <c r="L529" s="8"/>
      <c r="M529" s="8"/>
      <c r="N529" s="9"/>
      <c r="P529" s="15"/>
    </row>
    <row r="530" spans="9:16" x14ac:dyDescent="0.2">
      <c r="I530" s="7"/>
      <c r="K530" s="8"/>
      <c r="L530" s="8"/>
      <c r="M530" s="8"/>
      <c r="N530" s="9"/>
      <c r="P530" s="15"/>
    </row>
    <row r="531" spans="9:16" x14ac:dyDescent="0.2">
      <c r="I531" s="7"/>
      <c r="K531" s="8"/>
      <c r="L531" s="8"/>
      <c r="M531" s="8"/>
      <c r="N531" s="9"/>
      <c r="P531" s="15"/>
    </row>
    <row r="532" spans="9:16" x14ac:dyDescent="0.2">
      <c r="I532" s="7"/>
      <c r="K532" s="8"/>
      <c r="L532" s="8"/>
      <c r="M532" s="8"/>
      <c r="N532" s="9"/>
      <c r="P532" s="15"/>
    </row>
    <row r="533" spans="9:16" x14ac:dyDescent="0.2">
      <c r="I533" s="7"/>
      <c r="K533" s="8"/>
      <c r="L533" s="8"/>
      <c r="M533" s="8"/>
      <c r="N533" s="9"/>
      <c r="P533" s="15"/>
    </row>
    <row r="534" spans="9:16" x14ac:dyDescent="0.2">
      <c r="I534" s="7"/>
      <c r="K534" s="8"/>
      <c r="L534" s="8"/>
      <c r="M534" s="8"/>
      <c r="N534" s="9"/>
      <c r="P534" s="15"/>
    </row>
    <row r="535" spans="9:16" x14ac:dyDescent="0.2">
      <c r="I535" s="7"/>
      <c r="K535" s="8"/>
      <c r="L535" s="8"/>
      <c r="M535" s="8"/>
      <c r="N535" s="9"/>
      <c r="P535" s="15"/>
    </row>
    <row r="536" spans="9:16" x14ac:dyDescent="0.2">
      <c r="I536" s="7"/>
      <c r="K536" s="8"/>
      <c r="L536" s="8"/>
      <c r="M536" s="8"/>
      <c r="N536" s="9"/>
      <c r="P536" s="15"/>
    </row>
    <row r="537" spans="9:16" x14ac:dyDescent="0.2">
      <c r="I537" s="7"/>
      <c r="K537" s="8"/>
      <c r="L537" s="8"/>
      <c r="M537" s="8"/>
      <c r="N537" s="9"/>
      <c r="P537" s="15"/>
    </row>
    <row r="538" spans="9:16" x14ac:dyDescent="0.2">
      <c r="I538" s="7"/>
      <c r="K538" s="8"/>
      <c r="L538" s="8"/>
      <c r="M538" s="8"/>
      <c r="N538" s="9"/>
      <c r="P538" s="15"/>
    </row>
    <row r="539" spans="9:16" x14ac:dyDescent="0.2">
      <c r="I539" s="7"/>
      <c r="K539" s="8"/>
      <c r="L539" s="8"/>
      <c r="M539" s="8"/>
      <c r="N539" s="9"/>
      <c r="P539" s="15"/>
    </row>
    <row r="540" spans="9:16" x14ac:dyDescent="0.2">
      <c r="I540" s="7"/>
      <c r="K540" s="8"/>
      <c r="L540" s="8"/>
      <c r="M540" s="8"/>
      <c r="N540" s="9"/>
      <c r="P540" s="15"/>
    </row>
    <row r="541" spans="9:16" x14ac:dyDescent="0.2">
      <c r="I541" s="7"/>
      <c r="K541" s="8"/>
      <c r="L541" s="8"/>
      <c r="M541" s="8"/>
      <c r="N541" s="9"/>
      <c r="P541" s="15"/>
    </row>
    <row r="542" spans="9:16" x14ac:dyDescent="0.2">
      <c r="I542" s="7"/>
      <c r="K542" s="8"/>
      <c r="L542" s="8"/>
      <c r="M542" s="8"/>
      <c r="N542" s="9"/>
      <c r="P542" s="15"/>
    </row>
    <row r="543" spans="9:16" x14ac:dyDescent="0.2">
      <c r="I543" s="7"/>
      <c r="K543" s="8"/>
      <c r="L543" s="8"/>
      <c r="M543" s="8"/>
      <c r="N543" s="9"/>
      <c r="P543" s="15"/>
    </row>
    <row r="544" spans="9:16" x14ac:dyDescent="0.2">
      <c r="I544" s="7"/>
      <c r="K544" s="8"/>
      <c r="L544" s="8"/>
      <c r="M544" s="8"/>
      <c r="N544" s="9"/>
      <c r="P544" s="15"/>
    </row>
    <row r="545" spans="9:16" x14ac:dyDescent="0.2">
      <c r="I545" s="7"/>
      <c r="K545" s="8"/>
      <c r="L545" s="8"/>
      <c r="M545" s="8"/>
      <c r="N545" s="9"/>
      <c r="P545" s="15"/>
    </row>
    <row r="546" spans="9:16" x14ac:dyDescent="0.2">
      <c r="I546" s="7"/>
      <c r="K546" s="8"/>
      <c r="L546" s="8"/>
      <c r="M546" s="8"/>
      <c r="N546" s="9"/>
      <c r="P546" s="15"/>
    </row>
    <row r="547" spans="9:16" x14ac:dyDescent="0.2">
      <c r="I547" s="7"/>
      <c r="K547" s="8"/>
      <c r="L547" s="8"/>
      <c r="M547" s="8"/>
      <c r="N547" s="9"/>
      <c r="P547" s="15"/>
    </row>
    <row r="548" spans="9:16" x14ac:dyDescent="0.2">
      <c r="I548" s="7"/>
      <c r="K548" s="8"/>
      <c r="L548" s="8"/>
      <c r="M548" s="8"/>
      <c r="N548" s="9"/>
      <c r="P548" s="15"/>
    </row>
    <row r="549" spans="9:16" x14ac:dyDescent="0.2">
      <c r="I549" s="7"/>
      <c r="K549" s="8"/>
      <c r="L549" s="8"/>
      <c r="M549" s="8"/>
      <c r="N549" s="9"/>
      <c r="P549" s="15"/>
    </row>
    <row r="550" spans="9:16" x14ac:dyDescent="0.2">
      <c r="I550" s="7"/>
      <c r="K550" s="8"/>
      <c r="L550" s="8"/>
      <c r="M550" s="8"/>
      <c r="N550" s="9"/>
      <c r="P550" s="15"/>
    </row>
    <row r="551" spans="9:16" x14ac:dyDescent="0.2">
      <c r="I551" s="7"/>
      <c r="K551" s="8"/>
      <c r="L551" s="8"/>
      <c r="M551" s="8"/>
      <c r="N551" s="9"/>
      <c r="P551" s="15"/>
    </row>
    <row r="552" spans="9:16" x14ac:dyDescent="0.2">
      <c r="I552" s="7"/>
      <c r="K552" s="8"/>
      <c r="L552" s="8"/>
      <c r="M552" s="8"/>
      <c r="N552" s="9"/>
      <c r="P552" s="15"/>
    </row>
    <row r="553" spans="9:16" x14ac:dyDescent="0.2">
      <c r="I553" s="7"/>
      <c r="K553" s="8"/>
      <c r="L553" s="8"/>
      <c r="M553" s="8"/>
      <c r="N553" s="9"/>
      <c r="P553" s="15"/>
    </row>
    <row r="554" spans="9:16" x14ac:dyDescent="0.2">
      <c r="I554" s="7"/>
      <c r="K554" s="8"/>
      <c r="L554" s="8"/>
      <c r="M554" s="8"/>
      <c r="N554" s="9"/>
      <c r="P554" s="15"/>
    </row>
    <row r="555" spans="9:16" x14ac:dyDescent="0.2">
      <c r="I555" s="7"/>
      <c r="K555" s="8"/>
      <c r="L555" s="8"/>
      <c r="M555" s="8"/>
      <c r="N555" s="9"/>
      <c r="P555" s="15"/>
    </row>
    <row r="556" spans="9:16" x14ac:dyDescent="0.2">
      <c r="I556" s="7"/>
      <c r="K556" s="8"/>
      <c r="L556" s="8"/>
      <c r="M556" s="8"/>
      <c r="N556" s="9"/>
      <c r="P556" s="15"/>
    </row>
    <row r="557" spans="9:16" x14ac:dyDescent="0.2">
      <c r="I557" s="7"/>
      <c r="K557" s="8"/>
      <c r="L557" s="8"/>
      <c r="M557" s="8"/>
      <c r="N557" s="9"/>
      <c r="P557" s="15"/>
    </row>
    <row r="558" spans="9:16" x14ac:dyDescent="0.2">
      <c r="I558" s="7"/>
      <c r="K558" s="8"/>
      <c r="L558" s="8"/>
      <c r="M558" s="8"/>
      <c r="N558" s="9"/>
      <c r="P558" s="15"/>
    </row>
    <row r="559" spans="9:16" x14ac:dyDescent="0.2">
      <c r="I559" s="7"/>
      <c r="K559" s="8"/>
      <c r="L559" s="8"/>
      <c r="M559" s="8"/>
      <c r="N559" s="9"/>
      <c r="P559" s="15"/>
    </row>
    <row r="560" spans="9:16" x14ac:dyDescent="0.2">
      <c r="I560" s="7"/>
      <c r="K560" s="8"/>
      <c r="L560" s="8"/>
      <c r="M560" s="8"/>
      <c r="N560" s="9"/>
      <c r="P560" s="15"/>
    </row>
    <row r="561" spans="9:16" x14ac:dyDescent="0.2">
      <c r="I561" s="7"/>
      <c r="K561" s="8"/>
      <c r="L561" s="8"/>
      <c r="M561" s="8"/>
      <c r="N561" s="9"/>
      <c r="P561" s="15"/>
    </row>
    <row r="562" spans="9:16" x14ac:dyDescent="0.2">
      <c r="I562" s="7"/>
      <c r="K562" s="8"/>
      <c r="L562" s="8"/>
      <c r="M562" s="8"/>
      <c r="N562" s="9"/>
      <c r="P562" s="15"/>
    </row>
    <row r="563" spans="9:16" x14ac:dyDescent="0.2">
      <c r="I563" s="7"/>
      <c r="K563" s="8"/>
      <c r="L563" s="8"/>
      <c r="M563" s="8"/>
      <c r="N563" s="9"/>
      <c r="P563" s="15"/>
    </row>
    <row r="564" spans="9:16" x14ac:dyDescent="0.2">
      <c r="I564" s="7"/>
      <c r="K564" s="8"/>
      <c r="L564" s="8"/>
      <c r="M564" s="8"/>
      <c r="N564" s="9"/>
      <c r="P564" s="15"/>
    </row>
    <row r="565" spans="9:16" x14ac:dyDescent="0.2">
      <c r="I565" s="7"/>
      <c r="K565" s="8"/>
      <c r="L565" s="8"/>
      <c r="M565" s="8"/>
      <c r="N565" s="9"/>
      <c r="P565" s="15"/>
    </row>
    <row r="566" spans="9:16" x14ac:dyDescent="0.2">
      <c r="I566" s="7"/>
      <c r="K566" s="8"/>
      <c r="L566" s="8"/>
      <c r="M566" s="8"/>
      <c r="N566" s="9"/>
      <c r="P566" s="15"/>
    </row>
    <row r="567" spans="9:16" x14ac:dyDescent="0.2">
      <c r="I567" s="7"/>
      <c r="K567" s="8"/>
      <c r="L567" s="8"/>
      <c r="M567" s="8"/>
      <c r="N567" s="9"/>
      <c r="P567" s="15"/>
    </row>
    <row r="568" spans="9:16" x14ac:dyDescent="0.2">
      <c r="I568" s="7"/>
      <c r="K568" s="8"/>
      <c r="L568" s="8"/>
      <c r="M568" s="8"/>
      <c r="N568" s="9"/>
      <c r="P568" s="15"/>
    </row>
    <row r="569" spans="9:16" x14ac:dyDescent="0.2">
      <c r="I569" s="7"/>
      <c r="K569" s="8"/>
      <c r="L569" s="8"/>
      <c r="M569" s="8"/>
      <c r="N569" s="9"/>
      <c r="P569" s="15"/>
    </row>
    <row r="570" spans="9:16" x14ac:dyDescent="0.2">
      <c r="I570" s="7"/>
      <c r="K570" s="8"/>
      <c r="L570" s="8"/>
      <c r="M570" s="8"/>
      <c r="N570" s="9"/>
      <c r="P570" s="15"/>
    </row>
    <row r="571" spans="9:16" x14ac:dyDescent="0.2">
      <c r="I571" s="7"/>
      <c r="K571" s="8"/>
      <c r="L571" s="8"/>
      <c r="M571" s="8"/>
      <c r="N571" s="9"/>
      <c r="P571" s="15"/>
    </row>
    <row r="572" spans="9:16" x14ac:dyDescent="0.2">
      <c r="I572" s="7"/>
      <c r="K572" s="8"/>
      <c r="L572" s="8"/>
      <c r="M572" s="8"/>
      <c r="N572" s="9"/>
      <c r="P572" s="15"/>
    </row>
    <row r="573" spans="9:16" x14ac:dyDescent="0.2">
      <c r="I573" s="7"/>
      <c r="K573" s="8"/>
      <c r="L573" s="8"/>
      <c r="M573" s="8"/>
      <c r="N573" s="9"/>
      <c r="P573" s="15"/>
    </row>
    <row r="574" spans="9:16" x14ac:dyDescent="0.2">
      <c r="I574" s="7"/>
      <c r="K574" s="8"/>
      <c r="L574" s="8"/>
      <c r="M574" s="8"/>
      <c r="N574" s="9"/>
      <c r="P574" s="15"/>
    </row>
    <row r="575" spans="9:16" x14ac:dyDescent="0.2">
      <c r="I575" s="7"/>
      <c r="K575" s="8"/>
      <c r="L575" s="8"/>
      <c r="M575" s="8"/>
      <c r="N575" s="9"/>
      <c r="P575" s="15"/>
    </row>
    <row r="576" spans="9:16" x14ac:dyDescent="0.2">
      <c r="I576" s="7"/>
      <c r="K576" s="8"/>
      <c r="L576" s="8"/>
      <c r="M576" s="8"/>
      <c r="N576" s="9"/>
      <c r="P576" s="15"/>
    </row>
    <row r="577" spans="9:16" x14ac:dyDescent="0.2">
      <c r="I577" s="7"/>
      <c r="K577" s="8"/>
      <c r="L577" s="8"/>
      <c r="M577" s="8"/>
      <c r="N577" s="9"/>
      <c r="P577" s="15"/>
    </row>
    <row r="578" spans="9:16" x14ac:dyDescent="0.2">
      <c r="I578" s="7"/>
      <c r="K578" s="8"/>
      <c r="L578" s="8"/>
      <c r="M578" s="8"/>
      <c r="N578" s="9"/>
      <c r="P578" s="15"/>
    </row>
    <row r="579" spans="9:16" x14ac:dyDescent="0.2">
      <c r="I579" s="7"/>
      <c r="K579" s="8"/>
      <c r="L579" s="8"/>
      <c r="M579" s="8"/>
      <c r="N579" s="9"/>
      <c r="P579" s="15"/>
    </row>
    <row r="580" spans="9:16" x14ac:dyDescent="0.2">
      <c r="I580" s="7"/>
      <c r="K580" s="8"/>
      <c r="L580" s="8"/>
      <c r="M580" s="8"/>
      <c r="N580" s="9"/>
      <c r="P580" s="15"/>
    </row>
    <row r="581" spans="9:16" x14ac:dyDescent="0.2">
      <c r="I581" s="7"/>
      <c r="K581" s="8"/>
      <c r="L581" s="8"/>
      <c r="M581" s="8"/>
      <c r="N581" s="9"/>
      <c r="P581" s="15"/>
    </row>
    <row r="582" spans="9:16" x14ac:dyDescent="0.2">
      <c r="I582" s="7"/>
      <c r="K582" s="8"/>
      <c r="L582" s="8"/>
      <c r="M582" s="8"/>
      <c r="N582" s="9"/>
      <c r="P582" s="15"/>
    </row>
    <row r="583" spans="9:16" x14ac:dyDescent="0.2">
      <c r="I583" s="7"/>
      <c r="K583" s="8"/>
      <c r="L583" s="8"/>
      <c r="M583" s="8"/>
      <c r="N583" s="9"/>
      <c r="P583" s="15"/>
    </row>
    <row r="584" spans="9:16" x14ac:dyDescent="0.2">
      <c r="I584" s="7"/>
      <c r="K584" s="8"/>
      <c r="L584" s="8"/>
      <c r="M584" s="8"/>
      <c r="N584" s="9"/>
      <c r="P584" s="15"/>
    </row>
    <row r="585" spans="9:16" x14ac:dyDescent="0.2">
      <c r="I585" s="7"/>
      <c r="K585" s="8"/>
      <c r="L585" s="8"/>
      <c r="M585" s="8"/>
      <c r="N585" s="9"/>
      <c r="P585" s="15"/>
    </row>
    <row r="586" spans="9:16" x14ac:dyDescent="0.2">
      <c r="I586" s="7"/>
      <c r="K586" s="8"/>
      <c r="L586" s="8"/>
      <c r="M586" s="8"/>
      <c r="N586" s="9"/>
      <c r="P586" s="15"/>
    </row>
    <row r="587" spans="9:16" x14ac:dyDescent="0.2">
      <c r="I587" s="7"/>
      <c r="K587" s="8"/>
      <c r="L587" s="8"/>
      <c r="M587" s="8"/>
      <c r="N587" s="9"/>
      <c r="P587" s="15"/>
    </row>
    <row r="588" spans="9:16" x14ac:dyDescent="0.2">
      <c r="I588" s="7"/>
      <c r="K588" s="8"/>
      <c r="L588" s="8"/>
      <c r="M588" s="8"/>
      <c r="N588" s="9"/>
      <c r="P588" s="15"/>
    </row>
    <row r="589" spans="9:16" x14ac:dyDescent="0.2">
      <c r="I589" s="7"/>
      <c r="K589" s="8"/>
      <c r="L589" s="8"/>
      <c r="M589" s="8"/>
      <c r="N589" s="9"/>
      <c r="P589" s="15"/>
    </row>
    <row r="590" spans="9:16" x14ac:dyDescent="0.2">
      <c r="I590" s="7"/>
      <c r="K590" s="8"/>
      <c r="L590" s="8"/>
      <c r="M590" s="8"/>
      <c r="N590" s="9"/>
      <c r="P590" s="15"/>
    </row>
    <row r="591" spans="9:16" x14ac:dyDescent="0.2">
      <c r="I591" s="7"/>
      <c r="K591" s="8"/>
      <c r="L591" s="8"/>
      <c r="M591" s="8"/>
      <c r="N591" s="9"/>
      <c r="P591" s="15"/>
    </row>
    <row r="592" spans="9:16" x14ac:dyDescent="0.2">
      <c r="I592" s="7"/>
      <c r="K592" s="8"/>
      <c r="L592" s="8"/>
      <c r="M592" s="8"/>
      <c r="N592" s="9"/>
      <c r="P592" s="15"/>
    </row>
    <row r="593" spans="9:16" x14ac:dyDescent="0.2">
      <c r="I593" s="7"/>
      <c r="K593" s="8"/>
      <c r="L593" s="8"/>
      <c r="M593" s="8"/>
      <c r="N593" s="9"/>
      <c r="P593" s="15"/>
    </row>
    <row r="594" spans="9:16" x14ac:dyDescent="0.2">
      <c r="I594" s="7"/>
      <c r="K594" s="8"/>
      <c r="L594" s="8"/>
      <c r="M594" s="8"/>
      <c r="N594" s="9"/>
      <c r="P594" s="15"/>
    </row>
    <row r="595" spans="9:16" x14ac:dyDescent="0.2">
      <c r="I595" s="7"/>
      <c r="K595" s="8"/>
      <c r="L595" s="8"/>
      <c r="M595" s="8"/>
      <c r="N595" s="9"/>
      <c r="P595" s="15"/>
    </row>
    <row r="596" spans="9:16" x14ac:dyDescent="0.2">
      <c r="I596" s="7"/>
      <c r="K596" s="8"/>
      <c r="L596" s="8"/>
      <c r="M596" s="8"/>
      <c r="N596" s="9"/>
      <c r="P596" s="15"/>
    </row>
    <row r="597" spans="9:16" x14ac:dyDescent="0.2">
      <c r="I597" s="7"/>
      <c r="K597" s="8"/>
      <c r="L597" s="8"/>
      <c r="M597" s="8"/>
      <c r="N597" s="9"/>
      <c r="P597" s="15"/>
    </row>
    <row r="598" spans="9:16" x14ac:dyDescent="0.2">
      <c r="I598" s="7"/>
      <c r="K598" s="8"/>
      <c r="L598" s="8"/>
      <c r="M598" s="8"/>
      <c r="N598" s="9"/>
      <c r="P598" s="15"/>
    </row>
    <row r="599" spans="9:16" x14ac:dyDescent="0.2">
      <c r="I599" s="7"/>
      <c r="K599" s="8"/>
      <c r="L599" s="8"/>
      <c r="M599" s="8"/>
      <c r="N599" s="9"/>
      <c r="P599" s="15"/>
    </row>
    <row r="600" spans="9:16" x14ac:dyDescent="0.2">
      <c r="I600" s="7"/>
      <c r="K600" s="8"/>
      <c r="L600" s="8"/>
      <c r="M600" s="8"/>
      <c r="N600" s="9"/>
      <c r="P600" s="15"/>
    </row>
    <row r="601" spans="9:16" x14ac:dyDescent="0.2">
      <c r="I601" s="7"/>
      <c r="K601" s="8"/>
      <c r="L601" s="8"/>
      <c r="M601" s="8"/>
      <c r="N601" s="9"/>
      <c r="P601" s="15"/>
    </row>
    <row r="602" spans="9:16" x14ac:dyDescent="0.2">
      <c r="I602" s="7"/>
      <c r="K602" s="8"/>
      <c r="L602" s="8"/>
      <c r="M602" s="8"/>
      <c r="N602" s="9"/>
      <c r="P602" s="15"/>
    </row>
    <row r="603" spans="9:16" x14ac:dyDescent="0.2">
      <c r="I603" s="7"/>
      <c r="K603" s="8"/>
      <c r="L603" s="8"/>
      <c r="M603" s="8"/>
      <c r="N603" s="9"/>
      <c r="P603" s="15"/>
    </row>
    <row r="604" spans="9:16" x14ac:dyDescent="0.2">
      <c r="I604" s="7"/>
      <c r="K604" s="8"/>
      <c r="L604" s="8"/>
      <c r="M604" s="8"/>
      <c r="N604" s="9"/>
      <c r="P604" s="15"/>
    </row>
    <row r="605" spans="9:16" x14ac:dyDescent="0.2">
      <c r="I605" s="7"/>
      <c r="K605" s="8"/>
      <c r="L605" s="8"/>
      <c r="M605" s="8"/>
      <c r="N605" s="9"/>
      <c r="P605" s="15"/>
    </row>
    <row r="606" spans="9:16" x14ac:dyDescent="0.2">
      <c r="I606" s="7"/>
      <c r="K606" s="8"/>
      <c r="L606" s="8"/>
      <c r="M606" s="8"/>
      <c r="N606" s="9"/>
      <c r="P606" s="15"/>
    </row>
    <row r="607" spans="9:16" x14ac:dyDescent="0.2">
      <c r="I607" s="7"/>
      <c r="K607" s="8"/>
      <c r="L607" s="8"/>
      <c r="M607" s="8"/>
      <c r="N607" s="9"/>
      <c r="P607" s="15"/>
    </row>
    <row r="608" spans="9:16" x14ac:dyDescent="0.2">
      <c r="I608" s="7"/>
      <c r="K608" s="8"/>
      <c r="L608" s="8"/>
      <c r="M608" s="8"/>
      <c r="N608" s="9"/>
      <c r="P608" s="15"/>
    </row>
    <row r="609" spans="9:16" x14ac:dyDescent="0.2">
      <c r="I609" s="7"/>
      <c r="K609" s="8"/>
      <c r="L609" s="8"/>
      <c r="M609" s="8"/>
      <c r="N609" s="9"/>
      <c r="P609" s="15"/>
    </row>
    <row r="610" spans="9:16" x14ac:dyDescent="0.2">
      <c r="I610" s="7"/>
      <c r="K610" s="8"/>
      <c r="L610" s="8"/>
      <c r="M610" s="8"/>
      <c r="N610" s="9"/>
      <c r="P610" s="15"/>
    </row>
    <row r="611" spans="9:16" x14ac:dyDescent="0.2">
      <c r="I611" s="7"/>
      <c r="K611" s="8"/>
      <c r="L611" s="8"/>
      <c r="M611" s="8"/>
      <c r="N611" s="9"/>
      <c r="P611" s="15"/>
    </row>
    <row r="612" spans="9:16" x14ac:dyDescent="0.2">
      <c r="I612" s="7"/>
      <c r="K612" s="8"/>
      <c r="L612" s="8"/>
      <c r="M612" s="8"/>
      <c r="N612" s="9"/>
      <c r="P612" s="15"/>
    </row>
    <row r="613" spans="9:16" x14ac:dyDescent="0.2">
      <c r="I613" s="7"/>
      <c r="K613" s="8"/>
      <c r="L613" s="8"/>
      <c r="M613" s="8"/>
      <c r="N613" s="9"/>
      <c r="P613" s="15"/>
    </row>
    <row r="614" spans="9:16" x14ac:dyDescent="0.2">
      <c r="I614" s="7"/>
      <c r="K614" s="8"/>
      <c r="L614" s="8"/>
      <c r="M614" s="8"/>
      <c r="N614" s="9"/>
      <c r="P614" s="15"/>
    </row>
    <row r="615" spans="9:16" x14ac:dyDescent="0.2">
      <c r="I615" s="7"/>
      <c r="K615" s="8"/>
      <c r="L615" s="8"/>
      <c r="M615" s="8"/>
      <c r="N615" s="9"/>
      <c r="P615" s="15"/>
    </row>
    <row r="616" spans="9:16" x14ac:dyDescent="0.2">
      <c r="I616" s="7"/>
      <c r="K616" s="8"/>
      <c r="L616" s="8"/>
      <c r="M616" s="8"/>
      <c r="N616" s="9"/>
      <c r="P616" s="15"/>
    </row>
    <row r="617" spans="9:16" x14ac:dyDescent="0.2">
      <c r="I617" s="7"/>
      <c r="K617" s="8"/>
      <c r="L617" s="8"/>
      <c r="M617" s="8"/>
      <c r="N617" s="9"/>
      <c r="P617" s="15"/>
    </row>
    <row r="618" spans="9:16" x14ac:dyDescent="0.2">
      <c r="I618" s="7"/>
      <c r="K618" s="8"/>
      <c r="L618" s="8"/>
      <c r="M618" s="8"/>
      <c r="N618" s="9"/>
      <c r="P618" s="15"/>
    </row>
    <row r="619" spans="9:16" x14ac:dyDescent="0.2">
      <c r="I619" s="7"/>
      <c r="K619" s="8"/>
      <c r="L619" s="8"/>
      <c r="M619" s="8"/>
      <c r="N619" s="9"/>
      <c r="P619" s="15"/>
    </row>
    <row r="620" spans="9:16" x14ac:dyDescent="0.2">
      <c r="I620" s="7"/>
      <c r="K620" s="8"/>
      <c r="L620" s="8"/>
      <c r="M620" s="8"/>
      <c r="N620" s="9"/>
      <c r="P620" s="15"/>
    </row>
    <row r="621" spans="9:16" x14ac:dyDescent="0.2">
      <c r="I621" s="7"/>
      <c r="K621" s="8"/>
      <c r="L621" s="8"/>
      <c r="M621" s="8"/>
      <c r="N621" s="9"/>
      <c r="P621" s="15"/>
    </row>
    <row r="622" spans="9:16" x14ac:dyDescent="0.2">
      <c r="I622" s="7"/>
      <c r="K622" s="8"/>
      <c r="L622" s="8"/>
      <c r="M622" s="8"/>
      <c r="N622" s="9"/>
      <c r="P622" s="15"/>
    </row>
    <row r="623" spans="9:16" x14ac:dyDescent="0.2">
      <c r="I623" s="7"/>
      <c r="K623" s="8"/>
      <c r="L623" s="8"/>
      <c r="M623" s="8"/>
      <c r="N623" s="9"/>
      <c r="P623" s="15"/>
    </row>
    <row r="624" spans="9:16" x14ac:dyDescent="0.2">
      <c r="I624" s="7"/>
      <c r="K624" s="8"/>
      <c r="L624" s="8"/>
      <c r="M624" s="8"/>
      <c r="N624" s="9"/>
      <c r="P624" s="15"/>
    </row>
    <row r="625" spans="9:16" x14ac:dyDescent="0.2">
      <c r="I625" s="7"/>
      <c r="K625" s="8"/>
      <c r="L625" s="8"/>
      <c r="M625" s="8"/>
      <c r="N625" s="9"/>
      <c r="P625" s="15"/>
    </row>
    <row r="626" spans="9:16" x14ac:dyDescent="0.2">
      <c r="I626" s="7"/>
      <c r="K626" s="8"/>
      <c r="L626" s="8"/>
      <c r="M626" s="8"/>
      <c r="N626" s="9"/>
      <c r="P626" s="15"/>
    </row>
    <row r="627" spans="9:16" x14ac:dyDescent="0.2">
      <c r="I627" s="7"/>
      <c r="K627" s="8"/>
      <c r="L627" s="8"/>
      <c r="M627" s="8"/>
      <c r="N627" s="9"/>
      <c r="P627" s="15"/>
    </row>
    <row r="628" spans="9:16" x14ac:dyDescent="0.2">
      <c r="I628" s="7"/>
      <c r="K628" s="8"/>
      <c r="L628" s="8"/>
      <c r="M628" s="8"/>
      <c r="N628" s="9"/>
      <c r="P628" s="15"/>
    </row>
    <row r="629" spans="9:16" x14ac:dyDescent="0.2">
      <c r="I629" s="7"/>
      <c r="K629" s="8"/>
      <c r="L629" s="8"/>
      <c r="M629" s="8"/>
      <c r="N629" s="9"/>
      <c r="P629" s="15"/>
    </row>
    <row r="630" spans="9:16" x14ac:dyDescent="0.2">
      <c r="I630" s="7"/>
      <c r="K630" s="8"/>
      <c r="L630" s="8"/>
      <c r="M630" s="8"/>
      <c r="N630" s="9"/>
      <c r="P630" s="15"/>
    </row>
    <row r="631" spans="9:16" x14ac:dyDescent="0.2">
      <c r="I631" s="7"/>
      <c r="K631" s="8"/>
      <c r="L631" s="8"/>
      <c r="M631" s="8"/>
      <c r="N631" s="9"/>
      <c r="P631" s="15"/>
    </row>
    <row r="632" spans="9:16" x14ac:dyDescent="0.2">
      <c r="I632" s="7"/>
      <c r="K632" s="8"/>
      <c r="L632" s="8"/>
      <c r="M632" s="8"/>
      <c r="N632" s="9"/>
      <c r="P632" s="15"/>
    </row>
    <row r="633" spans="9:16" x14ac:dyDescent="0.2">
      <c r="I633" s="7"/>
      <c r="K633" s="8"/>
      <c r="L633" s="8"/>
      <c r="M633" s="8"/>
      <c r="N633" s="9"/>
      <c r="P633" s="15"/>
    </row>
    <row r="634" spans="9:16" x14ac:dyDescent="0.2">
      <c r="I634" s="7"/>
      <c r="K634" s="8"/>
      <c r="L634" s="8"/>
      <c r="M634" s="8"/>
      <c r="N634" s="9"/>
      <c r="P634" s="15"/>
    </row>
    <row r="635" spans="9:16" x14ac:dyDescent="0.2">
      <c r="I635" s="7"/>
      <c r="K635" s="8"/>
      <c r="L635" s="8"/>
      <c r="M635" s="8"/>
      <c r="N635" s="9"/>
      <c r="P635" s="15"/>
    </row>
    <row r="636" spans="9:16" x14ac:dyDescent="0.2">
      <c r="I636" s="7"/>
      <c r="K636" s="8"/>
      <c r="L636" s="8"/>
      <c r="M636" s="8"/>
      <c r="N636" s="9"/>
      <c r="P636" s="15"/>
    </row>
    <row r="637" spans="9:16" x14ac:dyDescent="0.2">
      <c r="I637" s="7"/>
      <c r="K637" s="8"/>
      <c r="L637" s="8"/>
      <c r="M637" s="8"/>
      <c r="N637" s="9"/>
      <c r="P637" s="15"/>
    </row>
    <row r="638" spans="9:16" x14ac:dyDescent="0.2">
      <c r="I638" s="7"/>
      <c r="K638" s="8"/>
      <c r="L638" s="8"/>
      <c r="M638" s="8"/>
      <c r="N638" s="9"/>
      <c r="P638" s="15"/>
    </row>
    <row r="639" spans="9:16" x14ac:dyDescent="0.2">
      <c r="I639" s="7"/>
      <c r="K639" s="8"/>
      <c r="L639" s="8"/>
      <c r="M639" s="8"/>
      <c r="N639" s="9"/>
      <c r="P639" s="15"/>
    </row>
    <row r="640" spans="9:16" x14ac:dyDescent="0.2">
      <c r="I640" s="7"/>
      <c r="K640" s="8"/>
      <c r="L640" s="8"/>
      <c r="M640" s="8"/>
      <c r="N640" s="9"/>
      <c r="P640" s="15"/>
    </row>
    <row r="641" spans="9:16" x14ac:dyDescent="0.2">
      <c r="I641" s="7"/>
      <c r="K641" s="8"/>
      <c r="L641" s="8"/>
      <c r="M641" s="8"/>
      <c r="N641" s="9"/>
      <c r="P641" s="15"/>
    </row>
    <row r="642" spans="9:16" x14ac:dyDescent="0.2">
      <c r="I642" s="7"/>
      <c r="K642" s="8"/>
      <c r="L642" s="8"/>
      <c r="M642" s="8"/>
      <c r="N642" s="9"/>
      <c r="P642" s="15"/>
    </row>
    <row r="643" spans="9:16" x14ac:dyDescent="0.2">
      <c r="I643" s="7"/>
      <c r="K643" s="8"/>
      <c r="L643" s="8"/>
      <c r="M643" s="8"/>
      <c r="N643" s="9"/>
      <c r="P643" s="15"/>
    </row>
    <row r="644" spans="9:16" x14ac:dyDescent="0.2">
      <c r="I644" s="7"/>
      <c r="K644" s="8"/>
      <c r="L644" s="8"/>
      <c r="M644" s="8"/>
      <c r="N644" s="9"/>
      <c r="P644" s="15"/>
    </row>
    <row r="645" spans="9:16" x14ac:dyDescent="0.2">
      <c r="I645" s="7"/>
      <c r="K645" s="8"/>
      <c r="L645" s="8"/>
      <c r="M645" s="8"/>
      <c r="N645" s="9"/>
      <c r="P645" s="15"/>
    </row>
    <row r="646" spans="9:16" x14ac:dyDescent="0.2">
      <c r="I646" s="7"/>
      <c r="K646" s="8"/>
      <c r="L646" s="8"/>
      <c r="M646" s="8"/>
      <c r="N646" s="9"/>
      <c r="P646" s="15"/>
    </row>
    <row r="647" spans="9:16" x14ac:dyDescent="0.2">
      <c r="I647" s="7"/>
      <c r="K647" s="8"/>
      <c r="L647" s="8"/>
      <c r="M647" s="8"/>
      <c r="N647" s="9"/>
      <c r="P647" s="15"/>
    </row>
    <row r="648" spans="9:16" x14ac:dyDescent="0.2">
      <c r="I648" s="7"/>
      <c r="K648" s="8"/>
      <c r="L648" s="8"/>
      <c r="M648" s="8"/>
      <c r="N648" s="9"/>
      <c r="P648" s="15"/>
    </row>
    <row r="649" spans="9:16" x14ac:dyDescent="0.2">
      <c r="I649" s="7"/>
      <c r="K649" s="8"/>
      <c r="L649" s="8"/>
      <c r="M649" s="8"/>
      <c r="N649" s="9"/>
      <c r="P649" s="15"/>
    </row>
    <row r="650" spans="9:16" x14ac:dyDescent="0.2">
      <c r="I650" s="7"/>
      <c r="K650" s="8"/>
      <c r="L650" s="8"/>
      <c r="M650" s="8"/>
      <c r="N650" s="9"/>
      <c r="P650" s="15"/>
    </row>
    <row r="651" spans="9:16" x14ac:dyDescent="0.2">
      <c r="I651" s="7"/>
      <c r="K651" s="8"/>
      <c r="L651" s="8"/>
      <c r="M651" s="8"/>
      <c r="N651" s="9"/>
      <c r="P651" s="15"/>
    </row>
    <row r="652" spans="9:16" x14ac:dyDescent="0.2">
      <c r="I652" s="7"/>
      <c r="K652" s="8"/>
      <c r="L652" s="8"/>
      <c r="M652" s="8"/>
      <c r="N652" s="9"/>
      <c r="P652" s="15"/>
    </row>
    <row r="653" spans="9:16" x14ac:dyDescent="0.2">
      <c r="I653" s="7"/>
      <c r="K653" s="8"/>
      <c r="L653" s="8"/>
      <c r="M653" s="8"/>
      <c r="N653" s="9"/>
      <c r="P653" s="15"/>
    </row>
    <row r="654" spans="9:16" x14ac:dyDescent="0.2">
      <c r="I654" s="7"/>
      <c r="K654" s="8"/>
      <c r="L654" s="8"/>
      <c r="M654" s="8"/>
      <c r="N654" s="9"/>
      <c r="P654" s="15"/>
    </row>
    <row r="655" spans="9:16" x14ac:dyDescent="0.2">
      <c r="I655" s="7"/>
      <c r="K655" s="8"/>
      <c r="L655" s="8"/>
      <c r="M655" s="8"/>
      <c r="N655" s="9"/>
      <c r="P655" s="15"/>
    </row>
    <row r="656" spans="9:16" x14ac:dyDescent="0.2">
      <c r="I656" s="7"/>
      <c r="K656" s="8"/>
      <c r="L656" s="8"/>
      <c r="M656" s="8"/>
      <c r="N656" s="9"/>
      <c r="P656" s="15"/>
    </row>
    <row r="657" spans="9:16" x14ac:dyDescent="0.2">
      <c r="I657" s="7"/>
      <c r="K657" s="8"/>
      <c r="L657" s="8"/>
      <c r="M657" s="8"/>
      <c r="N657" s="9"/>
      <c r="P657" s="15"/>
    </row>
    <row r="658" spans="9:16" x14ac:dyDescent="0.2">
      <c r="I658" s="7"/>
      <c r="K658" s="8"/>
      <c r="L658" s="8"/>
      <c r="M658" s="8"/>
      <c r="N658" s="9"/>
      <c r="P658" s="15"/>
    </row>
    <row r="659" spans="9:16" x14ac:dyDescent="0.2">
      <c r="I659" s="7"/>
      <c r="K659" s="8"/>
      <c r="L659" s="8"/>
      <c r="M659" s="8"/>
      <c r="N659" s="9"/>
      <c r="P659" s="15"/>
    </row>
    <row r="660" spans="9:16" x14ac:dyDescent="0.2">
      <c r="I660" s="7"/>
      <c r="K660" s="8"/>
      <c r="L660" s="8"/>
      <c r="M660" s="8"/>
      <c r="N660" s="9"/>
      <c r="P660" s="15"/>
    </row>
    <row r="661" spans="9:16" x14ac:dyDescent="0.2">
      <c r="I661" s="7"/>
      <c r="K661" s="8"/>
      <c r="L661" s="8"/>
      <c r="M661" s="8"/>
      <c r="N661" s="9"/>
      <c r="P661" s="15"/>
    </row>
    <row r="662" spans="9:16" x14ac:dyDescent="0.2">
      <c r="I662" s="7"/>
      <c r="K662" s="8"/>
      <c r="L662" s="8"/>
      <c r="M662" s="8"/>
      <c r="N662" s="9"/>
      <c r="P662" s="15"/>
    </row>
    <row r="663" spans="9:16" x14ac:dyDescent="0.2">
      <c r="I663" s="7"/>
      <c r="K663" s="8"/>
      <c r="L663" s="8"/>
      <c r="M663" s="8"/>
      <c r="N663" s="9"/>
      <c r="P663" s="15"/>
    </row>
    <row r="664" spans="9:16" x14ac:dyDescent="0.2">
      <c r="I664" s="7"/>
      <c r="K664" s="8"/>
      <c r="L664" s="8"/>
      <c r="M664" s="8"/>
      <c r="N664" s="9"/>
      <c r="P664" s="15"/>
    </row>
    <row r="665" spans="9:16" x14ac:dyDescent="0.2">
      <c r="I665" s="7"/>
      <c r="K665" s="8"/>
      <c r="L665" s="8"/>
      <c r="M665" s="8"/>
      <c r="N665" s="9"/>
      <c r="P665" s="15"/>
    </row>
    <row r="666" spans="9:16" x14ac:dyDescent="0.2">
      <c r="I666" s="7"/>
      <c r="K666" s="8"/>
      <c r="L666" s="8"/>
      <c r="M666" s="8"/>
      <c r="N666" s="9"/>
      <c r="P666" s="15"/>
    </row>
    <row r="667" spans="9:16" x14ac:dyDescent="0.2">
      <c r="I667" s="7"/>
      <c r="K667" s="8"/>
      <c r="L667" s="8"/>
      <c r="M667" s="8"/>
      <c r="N667" s="9"/>
      <c r="P667" s="15"/>
    </row>
    <row r="668" spans="9:16" x14ac:dyDescent="0.2">
      <c r="I668" s="7"/>
      <c r="K668" s="8"/>
      <c r="L668" s="8"/>
      <c r="M668" s="8"/>
      <c r="N668" s="9"/>
      <c r="P668" s="15"/>
    </row>
    <row r="669" spans="9:16" x14ac:dyDescent="0.2">
      <c r="I669" s="7"/>
      <c r="K669" s="8"/>
      <c r="L669" s="8"/>
      <c r="M669" s="8"/>
      <c r="N669" s="9"/>
      <c r="P669" s="15"/>
    </row>
    <row r="670" spans="9:16" x14ac:dyDescent="0.2">
      <c r="I670" s="7"/>
      <c r="K670" s="8"/>
      <c r="L670" s="8"/>
      <c r="M670" s="8"/>
      <c r="N670" s="9"/>
      <c r="P670" s="15"/>
    </row>
    <row r="671" spans="9:16" x14ac:dyDescent="0.2">
      <c r="I671" s="7"/>
      <c r="K671" s="8"/>
      <c r="L671" s="8"/>
      <c r="M671" s="8"/>
      <c r="N671" s="9"/>
      <c r="P671" s="15"/>
    </row>
    <row r="672" spans="9:16" x14ac:dyDescent="0.2">
      <c r="I672" s="7"/>
      <c r="K672" s="8"/>
      <c r="L672" s="8"/>
      <c r="M672" s="8"/>
      <c r="N672" s="9"/>
      <c r="P672" s="15"/>
    </row>
    <row r="673" spans="9:16" x14ac:dyDescent="0.2">
      <c r="I673" s="7"/>
      <c r="K673" s="8"/>
      <c r="L673" s="8"/>
      <c r="M673" s="8"/>
      <c r="N673" s="9"/>
      <c r="P673" s="15"/>
    </row>
    <row r="674" spans="9:16" x14ac:dyDescent="0.2">
      <c r="I674" s="7"/>
      <c r="K674" s="8"/>
      <c r="L674" s="8"/>
      <c r="M674" s="8"/>
      <c r="N674" s="9"/>
      <c r="P674" s="15"/>
    </row>
    <row r="675" spans="9:16" x14ac:dyDescent="0.2">
      <c r="I675" s="7"/>
      <c r="K675" s="8"/>
      <c r="L675" s="8"/>
      <c r="M675" s="8"/>
      <c r="N675" s="9"/>
      <c r="P675" s="15"/>
    </row>
    <row r="676" spans="9:16" x14ac:dyDescent="0.2">
      <c r="I676" s="7"/>
      <c r="K676" s="8"/>
      <c r="L676" s="8"/>
      <c r="M676" s="8"/>
      <c r="N676" s="9"/>
      <c r="P676" s="15"/>
    </row>
    <row r="677" spans="9:16" x14ac:dyDescent="0.2">
      <c r="I677" s="7"/>
      <c r="K677" s="8"/>
      <c r="L677" s="8"/>
      <c r="M677" s="8"/>
      <c r="N677" s="9"/>
      <c r="P677" s="15"/>
    </row>
    <row r="678" spans="9:16" x14ac:dyDescent="0.2">
      <c r="I678" s="7"/>
      <c r="K678" s="8"/>
      <c r="L678" s="8"/>
      <c r="M678" s="8"/>
      <c r="N678" s="9"/>
      <c r="P678" s="15"/>
    </row>
    <row r="679" spans="9:16" x14ac:dyDescent="0.2">
      <c r="I679" s="7"/>
      <c r="K679" s="8"/>
      <c r="L679" s="8"/>
      <c r="M679" s="8"/>
      <c r="N679" s="9"/>
      <c r="P679" s="15"/>
    </row>
    <row r="680" spans="9:16" x14ac:dyDescent="0.2">
      <c r="I680" s="7"/>
      <c r="K680" s="8"/>
      <c r="L680" s="8"/>
      <c r="M680" s="8"/>
      <c r="N680" s="9"/>
      <c r="P680" s="15"/>
    </row>
    <row r="681" spans="9:16" x14ac:dyDescent="0.2">
      <c r="I681" s="7"/>
      <c r="K681" s="8"/>
      <c r="L681" s="8"/>
      <c r="M681" s="8"/>
      <c r="N681" s="9"/>
      <c r="P681" s="15"/>
    </row>
    <row r="682" spans="9:16" x14ac:dyDescent="0.2">
      <c r="I682" s="7"/>
      <c r="K682" s="8"/>
      <c r="L682" s="8"/>
      <c r="M682" s="8"/>
      <c r="N682" s="9"/>
      <c r="P682" s="15"/>
    </row>
    <row r="683" spans="9:16" x14ac:dyDescent="0.2">
      <c r="I683" s="7"/>
      <c r="K683" s="8"/>
      <c r="L683" s="8"/>
      <c r="M683" s="8"/>
      <c r="N683" s="9"/>
      <c r="P683" s="15"/>
    </row>
    <row r="684" spans="9:16" x14ac:dyDescent="0.2">
      <c r="I684" s="7"/>
      <c r="K684" s="8"/>
      <c r="L684" s="8"/>
      <c r="M684" s="8"/>
      <c r="N684" s="9"/>
      <c r="P684" s="15"/>
    </row>
    <row r="685" spans="9:16" x14ac:dyDescent="0.2">
      <c r="I685" s="7"/>
      <c r="K685" s="8"/>
      <c r="L685" s="8"/>
      <c r="M685" s="8"/>
      <c r="N685" s="9"/>
      <c r="P685" s="15"/>
    </row>
    <row r="686" spans="9:16" x14ac:dyDescent="0.2">
      <c r="I686" s="7"/>
      <c r="K686" s="8"/>
      <c r="L686" s="8"/>
      <c r="M686" s="8"/>
      <c r="N686" s="9"/>
      <c r="P686" s="15"/>
    </row>
    <row r="687" spans="9:16" x14ac:dyDescent="0.2">
      <c r="I687" s="7"/>
      <c r="K687" s="8"/>
      <c r="L687" s="8"/>
      <c r="M687" s="8"/>
      <c r="N687" s="9"/>
      <c r="P687" s="15"/>
    </row>
    <row r="688" spans="9:16" x14ac:dyDescent="0.2">
      <c r="I688" s="7"/>
      <c r="K688" s="8"/>
      <c r="L688" s="8"/>
      <c r="M688" s="8"/>
      <c r="N688" s="9"/>
      <c r="P688" s="15"/>
    </row>
    <row r="689" spans="9:16" x14ac:dyDescent="0.2">
      <c r="I689" s="7"/>
      <c r="K689" s="8"/>
      <c r="L689" s="8"/>
      <c r="M689" s="8"/>
      <c r="N689" s="9"/>
      <c r="P689" s="15"/>
    </row>
    <row r="690" spans="9:16" x14ac:dyDescent="0.2">
      <c r="I690" s="7"/>
      <c r="K690" s="8"/>
      <c r="L690" s="8"/>
      <c r="M690" s="8"/>
      <c r="N690" s="9"/>
      <c r="P690" s="15"/>
    </row>
    <row r="691" spans="9:16" x14ac:dyDescent="0.2">
      <c r="I691" s="7"/>
      <c r="K691" s="8"/>
      <c r="L691" s="8"/>
      <c r="M691" s="8"/>
      <c r="N691" s="9"/>
      <c r="P691" s="15"/>
    </row>
    <row r="692" spans="9:16" x14ac:dyDescent="0.2">
      <c r="I692" s="7"/>
      <c r="K692" s="8"/>
      <c r="L692" s="8"/>
      <c r="M692" s="8"/>
      <c r="N692" s="9"/>
      <c r="P692" s="15"/>
    </row>
    <row r="693" spans="9:16" x14ac:dyDescent="0.2">
      <c r="I693" s="7"/>
      <c r="K693" s="8"/>
      <c r="L693" s="8"/>
      <c r="M693" s="8"/>
      <c r="N693" s="9"/>
      <c r="P693" s="15"/>
    </row>
    <row r="694" spans="9:16" x14ac:dyDescent="0.2">
      <c r="I694" s="7"/>
      <c r="K694" s="8"/>
      <c r="L694" s="8"/>
      <c r="M694" s="8"/>
      <c r="N694" s="9"/>
      <c r="P694" s="15"/>
    </row>
    <row r="695" spans="9:16" x14ac:dyDescent="0.2">
      <c r="I695" s="7"/>
      <c r="K695" s="8"/>
      <c r="L695" s="8"/>
      <c r="M695" s="8"/>
      <c r="N695" s="9"/>
      <c r="P695" s="15"/>
    </row>
    <row r="696" spans="9:16" x14ac:dyDescent="0.2">
      <c r="I696" s="7"/>
      <c r="K696" s="8"/>
      <c r="L696" s="8"/>
      <c r="M696" s="8"/>
      <c r="N696" s="9"/>
      <c r="P696" s="15"/>
    </row>
    <row r="697" spans="9:16" x14ac:dyDescent="0.2">
      <c r="I697" s="7"/>
      <c r="K697" s="8"/>
      <c r="L697" s="8"/>
      <c r="M697" s="8"/>
      <c r="N697" s="9"/>
      <c r="P697" s="15"/>
    </row>
    <row r="698" spans="9:16" x14ac:dyDescent="0.2">
      <c r="I698" s="7"/>
      <c r="K698" s="8"/>
      <c r="L698" s="8"/>
      <c r="M698" s="8"/>
      <c r="N698" s="9"/>
      <c r="P698" s="15"/>
    </row>
    <row r="699" spans="9:16" x14ac:dyDescent="0.2">
      <c r="I699" s="7"/>
      <c r="K699" s="8"/>
      <c r="L699" s="8"/>
      <c r="M699" s="8"/>
      <c r="N699" s="9"/>
      <c r="P699" s="15"/>
    </row>
    <row r="700" spans="9:16" x14ac:dyDescent="0.2">
      <c r="I700" s="7"/>
      <c r="K700" s="8"/>
      <c r="L700" s="8"/>
      <c r="M700" s="8"/>
      <c r="N700" s="9"/>
      <c r="P700" s="15"/>
    </row>
    <row r="701" spans="9:16" x14ac:dyDescent="0.2">
      <c r="I701" s="7"/>
      <c r="K701" s="8"/>
      <c r="L701" s="8"/>
      <c r="M701" s="8"/>
      <c r="N701" s="9"/>
      <c r="P701" s="15"/>
    </row>
    <row r="702" spans="9:16" x14ac:dyDescent="0.2">
      <c r="I702" s="7"/>
      <c r="K702" s="8"/>
      <c r="L702" s="8"/>
      <c r="M702" s="8"/>
      <c r="N702" s="9"/>
      <c r="P702" s="15"/>
    </row>
    <row r="703" spans="9:16" x14ac:dyDescent="0.2">
      <c r="I703" s="7"/>
      <c r="K703" s="8"/>
      <c r="L703" s="8"/>
      <c r="M703" s="8"/>
      <c r="N703" s="9"/>
      <c r="P703" s="15"/>
    </row>
    <row r="704" spans="9:16" x14ac:dyDescent="0.2">
      <c r="I704" s="7"/>
      <c r="K704" s="8"/>
      <c r="L704" s="8"/>
      <c r="M704" s="8"/>
      <c r="N704" s="9"/>
      <c r="P704" s="15"/>
    </row>
    <row r="705" spans="9:16" x14ac:dyDescent="0.2">
      <c r="I705" s="7"/>
      <c r="K705" s="8"/>
      <c r="L705" s="8"/>
      <c r="M705" s="8"/>
      <c r="N705" s="9"/>
      <c r="P705" s="15"/>
    </row>
    <row r="706" spans="9:16" x14ac:dyDescent="0.2">
      <c r="I706" s="7"/>
      <c r="K706" s="8"/>
      <c r="L706" s="8"/>
      <c r="M706" s="8"/>
      <c r="N706" s="9"/>
      <c r="P706" s="15"/>
    </row>
    <row r="707" spans="9:16" x14ac:dyDescent="0.2">
      <c r="I707" s="7"/>
      <c r="K707" s="8"/>
      <c r="L707" s="8"/>
      <c r="M707" s="8"/>
      <c r="N707" s="9"/>
      <c r="P707" s="15"/>
    </row>
    <row r="708" spans="9:16" x14ac:dyDescent="0.2">
      <c r="I708" s="7"/>
      <c r="K708" s="8"/>
      <c r="L708" s="8"/>
      <c r="M708" s="8"/>
      <c r="N708" s="9"/>
      <c r="P708" s="15"/>
    </row>
    <row r="709" spans="9:16" x14ac:dyDescent="0.2">
      <c r="I709" s="7"/>
      <c r="K709" s="8"/>
      <c r="L709" s="8"/>
      <c r="M709" s="8"/>
      <c r="N709" s="9"/>
      <c r="P709" s="15"/>
    </row>
    <row r="710" spans="9:16" x14ac:dyDescent="0.2">
      <c r="I710" s="7"/>
      <c r="K710" s="8"/>
      <c r="L710" s="8"/>
      <c r="M710" s="8"/>
      <c r="N710" s="9"/>
      <c r="P710" s="15"/>
    </row>
    <row r="711" spans="9:16" x14ac:dyDescent="0.2">
      <c r="I711" s="7"/>
      <c r="K711" s="8"/>
      <c r="L711" s="8"/>
      <c r="M711" s="8"/>
      <c r="N711" s="9"/>
      <c r="P711" s="15"/>
    </row>
    <row r="712" spans="9:16" x14ac:dyDescent="0.2">
      <c r="I712" s="7"/>
      <c r="K712" s="8"/>
      <c r="L712" s="8"/>
      <c r="M712" s="8"/>
      <c r="N712" s="9"/>
      <c r="P712" s="15"/>
    </row>
    <row r="713" spans="9:16" x14ac:dyDescent="0.2">
      <c r="I713" s="7"/>
      <c r="K713" s="8"/>
      <c r="L713" s="8"/>
      <c r="M713" s="8"/>
      <c r="N713" s="9"/>
      <c r="P713" s="15"/>
    </row>
    <row r="714" spans="9:16" x14ac:dyDescent="0.2">
      <c r="I714" s="7"/>
      <c r="K714" s="8"/>
      <c r="L714" s="8"/>
      <c r="M714" s="8"/>
      <c r="N714" s="9"/>
      <c r="P714" s="15"/>
    </row>
    <row r="715" spans="9:16" x14ac:dyDescent="0.2">
      <c r="I715" s="7"/>
      <c r="K715" s="8"/>
      <c r="L715" s="8"/>
      <c r="M715" s="8"/>
      <c r="N715" s="9"/>
      <c r="P715" s="15"/>
    </row>
    <row r="716" spans="9:16" x14ac:dyDescent="0.2">
      <c r="I716" s="7"/>
      <c r="K716" s="8"/>
      <c r="L716" s="8"/>
      <c r="M716" s="8"/>
      <c r="N716" s="9"/>
      <c r="P716" s="15"/>
    </row>
    <row r="717" spans="9:16" x14ac:dyDescent="0.2">
      <c r="I717" s="7"/>
      <c r="K717" s="8"/>
      <c r="L717" s="8"/>
      <c r="M717" s="8"/>
      <c r="N717" s="9"/>
      <c r="P717" s="15"/>
    </row>
    <row r="718" spans="9:16" x14ac:dyDescent="0.2">
      <c r="I718" s="7"/>
      <c r="K718" s="8"/>
      <c r="L718" s="8"/>
      <c r="M718" s="8"/>
      <c r="N718" s="9"/>
      <c r="P718" s="15"/>
    </row>
    <row r="719" spans="9:16" x14ac:dyDescent="0.2">
      <c r="I719" s="7"/>
      <c r="K719" s="8"/>
      <c r="L719" s="8"/>
      <c r="M719" s="8"/>
      <c r="N719" s="9"/>
      <c r="P719" s="15"/>
    </row>
    <row r="720" spans="9:16" x14ac:dyDescent="0.2">
      <c r="I720" s="7"/>
      <c r="K720" s="8"/>
      <c r="L720" s="8"/>
      <c r="M720" s="8"/>
      <c r="N720" s="9"/>
      <c r="P720" s="15"/>
    </row>
    <row r="721" spans="9:16" x14ac:dyDescent="0.2">
      <c r="I721" s="7"/>
      <c r="K721" s="8"/>
      <c r="L721" s="8"/>
      <c r="M721" s="8"/>
      <c r="N721" s="9"/>
      <c r="P721" s="15"/>
    </row>
    <row r="722" spans="9:16" x14ac:dyDescent="0.2">
      <c r="I722" s="7"/>
      <c r="K722" s="8"/>
      <c r="L722" s="8"/>
      <c r="M722" s="8"/>
      <c r="N722" s="9"/>
      <c r="P722" s="15"/>
    </row>
    <row r="723" spans="9:16" x14ac:dyDescent="0.2">
      <c r="I723" s="7"/>
      <c r="K723" s="8"/>
      <c r="L723" s="8"/>
      <c r="M723" s="8"/>
      <c r="N723" s="9"/>
      <c r="P723" s="15"/>
    </row>
    <row r="724" spans="9:16" x14ac:dyDescent="0.2">
      <c r="I724" s="7"/>
      <c r="K724" s="8"/>
      <c r="L724" s="8"/>
      <c r="M724" s="8"/>
      <c r="N724" s="9"/>
      <c r="P724" s="15"/>
    </row>
    <row r="725" spans="9:16" x14ac:dyDescent="0.2">
      <c r="I725" s="7"/>
      <c r="K725" s="8"/>
      <c r="L725" s="8"/>
      <c r="M725" s="8"/>
      <c r="N725" s="9"/>
      <c r="P725" s="15"/>
    </row>
    <row r="726" spans="9:16" x14ac:dyDescent="0.2">
      <c r="I726" s="7"/>
      <c r="K726" s="8"/>
      <c r="L726" s="8"/>
      <c r="M726" s="8"/>
      <c r="N726" s="9"/>
      <c r="P726" s="15"/>
    </row>
    <row r="727" spans="9:16" x14ac:dyDescent="0.2">
      <c r="I727" s="7"/>
      <c r="K727" s="8"/>
      <c r="L727" s="8"/>
      <c r="M727" s="8"/>
      <c r="N727" s="9"/>
      <c r="P727" s="15"/>
    </row>
    <row r="728" spans="9:16" x14ac:dyDescent="0.2">
      <c r="I728" s="7"/>
      <c r="K728" s="8"/>
      <c r="L728" s="8"/>
      <c r="M728" s="8"/>
      <c r="N728" s="9"/>
      <c r="P728" s="15"/>
    </row>
    <row r="729" spans="9:16" x14ac:dyDescent="0.2">
      <c r="I729" s="7"/>
      <c r="K729" s="8"/>
      <c r="L729" s="8"/>
      <c r="M729" s="8"/>
      <c r="N729" s="9"/>
      <c r="P729" s="15"/>
    </row>
    <row r="730" spans="9:16" x14ac:dyDescent="0.2">
      <c r="I730" s="7"/>
      <c r="K730" s="8"/>
      <c r="L730" s="8"/>
      <c r="M730" s="8"/>
      <c r="N730" s="9"/>
      <c r="P730" s="15"/>
    </row>
    <row r="731" spans="9:16" x14ac:dyDescent="0.2">
      <c r="I731" s="7"/>
      <c r="K731" s="8"/>
      <c r="L731" s="8"/>
      <c r="M731" s="8"/>
      <c r="N731" s="9"/>
      <c r="P731" s="15"/>
    </row>
    <row r="732" spans="9:16" x14ac:dyDescent="0.2">
      <c r="I732" s="7"/>
      <c r="K732" s="8"/>
      <c r="L732" s="8"/>
      <c r="M732" s="8"/>
      <c r="N732" s="9"/>
      <c r="P732" s="15"/>
    </row>
    <row r="733" spans="9:16" x14ac:dyDescent="0.2">
      <c r="I733" s="7"/>
      <c r="K733" s="8"/>
      <c r="L733" s="8"/>
      <c r="M733" s="8"/>
      <c r="N733" s="9"/>
      <c r="P733" s="15"/>
    </row>
    <row r="734" spans="9:16" x14ac:dyDescent="0.2">
      <c r="I734" s="7"/>
      <c r="K734" s="8"/>
      <c r="L734" s="8"/>
      <c r="M734" s="8"/>
      <c r="N734" s="9"/>
      <c r="P734" s="15"/>
    </row>
    <row r="735" spans="9:16" x14ac:dyDescent="0.2">
      <c r="I735" s="7"/>
      <c r="K735" s="8"/>
      <c r="L735" s="8"/>
      <c r="M735" s="8"/>
      <c r="N735" s="9"/>
      <c r="P735" s="15"/>
    </row>
    <row r="736" spans="9:16" x14ac:dyDescent="0.2">
      <c r="I736" s="7"/>
      <c r="K736" s="8"/>
      <c r="L736" s="8"/>
      <c r="M736" s="8"/>
      <c r="N736" s="9"/>
      <c r="P736" s="15"/>
    </row>
    <row r="737" spans="9:16" x14ac:dyDescent="0.2">
      <c r="I737" s="7"/>
      <c r="K737" s="8"/>
      <c r="L737" s="8"/>
      <c r="M737" s="8"/>
      <c r="N737" s="9"/>
      <c r="P737" s="15"/>
    </row>
    <row r="738" spans="9:16" x14ac:dyDescent="0.2">
      <c r="I738" s="7"/>
      <c r="K738" s="8"/>
      <c r="L738" s="8"/>
      <c r="M738" s="8"/>
      <c r="N738" s="9"/>
      <c r="P738" s="15"/>
    </row>
    <row r="739" spans="9:16" x14ac:dyDescent="0.2">
      <c r="I739" s="7"/>
      <c r="K739" s="8"/>
      <c r="L739" s="8"/>
      <c r="M739" s="8"/>
      <c r="N739" s="9"/>
      <c r="P739" s="15"/>
    </row>
    <row r="740" spans="9:16" x14ac:dyDescent="0.2">
      <c r="I740" s="7"/>
      <c r="K740" s="8"/>
      <c r="L740" s="8"/>
      <c r="M740" s="8"/>
      <c r="N740" s="9"/>
      <c r="P740" s="15"/>
    </row>
    <row r="741" spans="9:16" x14ac:dyDescent="0.2">
      <c r="I741" s="7"/>
      <c r="K741" s="8"/>
      <c r="L741" s="8"/>
      <c r="M741" s="8"/>
      <c r="N741" s="9"/>
      <c r="P741" s="15"/>
    </row>
    <row r="742" spans="9:16" x14ac:dyDescent="0.2">
      <c r="I742" s="7"/>
      <c r="K742" s="8"/>
      <c r="L742" s="8"/>
      <c r="M742" s="8"/>
      <c r="N742" s="9"/>
      <c r="P742" s="15"/>
    </row>
    <row r="743" spans="9:16" x14ac:dyDescent="0.2">
      <c r="I743" s="7"/>
      <c r="K743" s="8"/>
      <c r="L743" s="8"/>
      <c r="M743" s="8"/>
      <c r="N743" s="9"/>
      <c r="P743" s="15"/>
    </row>
    <row r="744" spans="9:16" x14ac:dyDescent="0.2">
      <c r="I744" s="7"/>
      <c r="K744" s="8"/>
      <c r="L744" s="8"/>
      <c r="M744" s="8"/>
      <c r="N744" s="9"/>
      <c r="P744" s="15"/>
    </row>
    <row r="745" spans="9:16" x14ac:dyDescent="0.2">
      <c r="I745" s="7"/>
      <c r="K745" s="8"/>
      <c r="L745" s="8"/>
      <c r="M745" s="8"/>
      <c r="N745" s="9"/>
      <c r="P745" s="15"/>
    </row>
    <row r="746" spans="9:16" x14ac:dyDescent="0.2">
      <c r="I746" s="7"/>
      <c r="K746" s="8"/>
      <c r="L746" s="8"/>
      <c r="M746" s="8"/>
      <c r="N746" s="9"/>
      <c r="P746" s="15"/>
    </row>
    <row r="747" spans="9:16" x14ac:dyDescent="0.2">
      <c r="I747" s="7"/>
      <c r="K747" s="8"/>
      <c r="L747" s="8"/>
      <c r="M747" s="8"/>
      <c r="N747" s="9"/>
      <c r="P747" s="15"/>
    </row>
    <row r="748" spans="9:16" x14ac:dyDescent="0.2">
      <c r="I748" s="7"/>
      <c r="K748" s="8"/>
      <c r="L748" s="8"/>
      <c r="M748" s="8"/>
      <c r="N748" s="9"/>
      <c r="P748" s="15"/>
    </row>
    <row r="749" spans="9:16" x14ac:dyDescent="0.2">
      <c r="I749" s="7"/>
      <c r="K749" s="8"/>
      <c r="L749" s="8"/>
      <c r="M749" s="8"/>
      <c r="N749" s="9"/>
      <c r="P749" s="15"/>
    </row>
    <row r="750" spans="9:16" x14ac:dyDescent="0.2">
      <c r="I750" s="7"/>
      <c r="K750" s="8"/>
      <c r="L750" s="8"/>
      <c r="M750" s="8"/>
      <c r="N750" s="9"/>
      <c r="P750" s="15"/>
    </row>
    <row r="751" spans="9:16" x14ac:dyDescent="0.2">
      <c r="I751" s="7"/>
      <c r="K751" s="8"/>
      <c r="L751" s="8"/>
      <c r="M751" s="8"/>
      <c r="N751" s="9"/>
      <c r="P751" s="15"/>
    </row>
    <row r="752" spans="9:16" x14ac:dyDescent="0.2">
      <c r="I752" s="7"/>
      <c r="K752" s="8"/>
      <c r="L752" s="8"/>
      <c r="M752" s="8"/>
      <c r="N752" s="9"/>
      <c r="P752" s="15"/>
    </row>
    <row r="753" spans="9:16" x14ac:dyDescent="0.2">
      <c r="I753" s="7"/>
      <c r="K753" s="8"/>
      <c r="L753" s="8"/>
      <c r="M753" s="8"/>
      <c r="N753" s="9"/>
      <c r="P753" s="15"/>
    </row>
    <row r="754" spans="9:16" x14ac:dyDescent="0.2">
      <c r="I754" s="7"/>
      <c r="K754" s="8"/>
      <c r="L754" s="8"/>
      <c r="M754" s="8"/>
      <c r="N754" s="9"/>
      <c r="P754" s="15"/>
    </row>
    <row r="755" spans="9:16" x14ac:dyDescent="0.2">
      <c r="I755" s="7"/>
      <c r="K755" s="8"/>
      <c r="L755" s="8"/>
      <c r="M755" s="8"/>
      <c r="N755" s="9"/>
      <c r="P755" s="15"/>
    </row>
    <row r="756" spans="9:16" x14ac:dyDescent="0.2">
      <c r="I756" s="7"/>
      <c r="K756" s="8"/>
      <c r="L756" s="8"/>
      <c r="M756" s="8"/>
      <c r="N756" s="9"/>
      <c r="P756" s="15"/>
    </row>
    <row r="757" spans="9:16" x14ac:dyDescent="0.2">
      <c r="I757" s="7"/>
      <c r="K757" s="8"/>
      <c r="L757" s="8"/>
      <c r="M757" s="8"/>
      <c r="N757" s="9"/>
      <c r="P757" s="15"/>
    </row>
    <row r="758" spans="9:16" x14ac:dyDescent="0.2">
      <c r="I758" s="7"/>
      <c r="K758" s="8"/>
      <c r="L758" s="8"/>
      <c r="M758" s="8"/>
      <c r="N758" s="9"/>
      <c r="P758" s="15"/>
    </row>
    <row r="759" spans="9:16" x14ac:dyDescent="0.2">
      <c r="I759" s="7"/>
      <c r="K759" s="8"/>
      <c r="L759" s="8"/>
      <c r="M759" s="8"/>
      <c r="N759" s="9"/>
      <c r="P759" s="15"/>
    </row>
    <row r="760" spans="9:16" x14ac:dyDescent="0.2">
      <c r="I760" s="7"/>
      <c r="K760" s="8"/>
      <c r="L760" s="8"/>
      <c r="M760" s="8"/>
      <c r="N760" s="9"/>
      <c r="P760" s="15"/>
    </row>
    <row r="761" spans="9:16" x14ac:dyDescent="0.2">
      <c r="I761" s="7"/>
      <c r="K761" s="8"/>
      <c r="L761" s="8"/>
      <c r="M761" s="8"/>
      <c r="N761" s="9"/>
      <c r="P761" s="15"/>
    </row>
    <row r="762" spans="9:16" x14ac:dyDescent="0.2">
      <c r="I762" s="7"/>
      <c r="K762" s="8"/>
      <c r="L762" s="8"/>
      <c r="M762" s="8"/>
      <c r="N762" s="9"/>
      <c r="P762" s="15"/>
    </row>
    <row r="763" spans="9:16" x14ac:dyDescent="0.2">
      <c r="I763" s="7"/>
      <c r="K763" s="8"/>
      <c r="L763" s="8"/>
      <c r="M763" s="8"/>
      <c r="N763" s="9"/>
      <c r="P763" s="15"/>
    </row>
    <row r="764" spans="9:16" x14ac:dyDescent="0.2">
      <c r="I764" s="7"/>
      <c r="K764" s="8"/>
      <c r="L764" s="8"/>
      <c r="M764" s="8"/>
      <c r="N764" s="9"/>
      <c r="P764" s="15"/>
    </row>
    <row r="765" spans="9:16" x14ac:dyDescent="0.2">
      <c r="I765" s="7"/>
      <c r="K765" s="8"/>
      <c r="L765" s="8"/>
      <c r="M765" s="8"/>
      <c r="N765" s="9"/>
      <c r="P765" s="15"/>
    </row>
    <row r="766" spans="9:16" x14ac:dyDescent="0.2">
      <c r="I766" s="7"/>
      <c r="K766" s="8"/>
      <c r="L766" s="8"/>
      <c r="M766" s="8"/>
      <c r="N766" s="9"/>
      <c r="P766" s="15"/>
    </row>
    <row r="767" spans="9:16" x14ac:dyDescent="0.2">
      <c r="I767" s="7"/>
      <c r="K767" s="8"/>
      <c r="L767" s="8"/>
      <c r="M767" s="8"/>
      <c r="N767" s="9"/>
      <c r="P767" s="15"/>
    </row>
    <row r="768" spans="9:16" x14ac:dyDescent="0.2">
      <c r="I768" s="7"/>
      <c r="K768" s="8"/>
      <c r="L768" s="8"/>
      <c r="M768" s="8"/>
      <c r="N768" s="9"/>
      <c r="P768" s="15"/>
    </row>
    <row r="769" spans="9:16" x14ac:dyDescent="0.2">
      <c r="I769" s="7"/>
      <c r="K769" s="8"/>
      <c r="L769" s="8"/>
      <c r="M769" s="8"/>
      <c r="N769" s="9"/>
      <c r="P769" s="15"/>
    </row>
    <row r="770" spans="9:16" x14ac:dyDescent="0.2">
      <c r="I770" s="7"/>
      <c r="K770" s="8"/>
      <c r="L770" s="8"/>
      <c r="M770" s="8"/>
      <c r="N770" s="9"/>
      <c r="P770" s="15"/>
    </row>
    <row r="771" spans="9:16" x14ac:dyDescent="0.2">
      <c r="I771" s="7"/>
      <c r="K771" s="8"/>
      <c r="L771" s="8"/>
      <c r="M771" s="8"/>
      <c r="N771" s="9"/>
      <c r="P771" s="15"/>
    </row>
    <row r="772" spans="9:16" x14ac:dyDescent="0.2">
      <c r="I772" s="7"/>
      <c r="K772" s="8"/>
      <c r="L772" s="8"/>
      <c r="M772" s="8"/>
      <c r="N772" s="9"/>
      <c r="P772" s="15"/>
    </row>
    <row r="773" spans="9:16" x14ac:dyDescent="0.2">
      <c r="I773" s="7"/>
      <c r="K773" s="8"/>
      <c r="L773" s="8"/>
      <c r="M773" s="8"/>
      <c r="N773" s="9"/>
      <c r="P773" s="15"/>
    </row>
    <row r="774" spans="9:16" x14ac:dyDescent="0.2">
      <c r="I774" s="7"/>
      <c r="K774" s="8"/>
      <c r="L774" s="8"/>
      <c r="M774" s="8"/>
      <c r="N774" s="9"/>
      <c r="P774" s="15"/>
    </row>
    <row r="775" spans="9:16" x14ac:dyDescent="0.2">
      <c r="I775" s="7"/>
      <c r="K775" s="8"/>
      <c r="L775" s="8"/>
      <c r="M775" s="8"/>
      <c r="N775" s="9"/>
      <c r="P775" s="15"/>
    </row>
    <row r="776" spans="9:16" x14ac:dyDescent="0.2">
      <c r="I776" s="7"/>
      <c r="K776" s="8"/>
      <c r="L776" s="8"/>
      <c r="M776" s="8"/>
      <c r="N776" s="9"/>
      <c r="P776" s="15"/>
    </row>
    <row r="777" spans="9:16" x14ac:dyDescent="0.2">
      <c r="I777" s="7"/>
      <c r="K777" s="8"/>
      <c r="L777" s="8"/>
      <c r="M777" s="8"/>
      <c r="N777" s="9"/>
      <c r="P777" s="15"/>
    </row>
    <row r="778" spans="9:16" x14ac:dyDescent="0.2">
      <c r="I778" s="7"/>
      <c r="K778" s="8"/>
      <c r="L778" s="8"/>
      <c r="M778" s="8"/>
      <c r="N778" s="9"/>
      <c r="P778" s="15"/>
    </row>
    <row r="779" spans="9:16" x14ac:dyDescent="0.2">
      <c r="I779" s="7"/>
      <c r="K779" s="8"/>
      <c r="L779" s="8"/>
      <c r="M779" s="8"/>
      <c r="N779" s="9"/>
      <c r="P779" s="15"/>
    </row>
    <row r="780" spans="9:16" x14ac:dyDescent="0.2">
      <c r="I780" s="7"/>
      <c r="K780" s="8"/>
      <c r="L780" s="8"/>
      <c r="M780" s="8"/>
      <c r="N780" s="9"/>
      <c r="P780" s="15"/>
    </row>
    <row r="781" spans="9:16" x14ac:dyDescent="0.2">
      <c r="I781" s="7"/>
      <c r="K781" s="8"/>
      <c r="L781" s="8"/>
      <c r="M781" s="8"/>
      <c r="N781" s="9"/>
      <c r="P781" s="15"/>
    </row>
    <row r="782" spans="9:16" x14ac:dyDescent="0.2">
      <c r="I782" s="7"/>
      <c r="K782" s="8"/>
      <c r="L782" s="8"/>
      <c r="M782" s="8"/>
      <c r="N782" s="9"/>
      <c r="P782" s="15"/>
    </row>
    <row r="783" spans="9:16" x14ac:dyDescent="0.2">
      <c r="I783" s="7"/>
      <c r="K783" s="8"/>
      <c r="L783" s="8"/>
      <c r="M783" s="8"/>
      <c r="N783" s="9"/>
      <c r="P783" s="15"/>
    </row>
    <row r="784" spans="9:16" x14ac:dyDescent="0.2">
      <c r="I784" s="7"/>
      <c r="K784" s="8"/>
      <c r="L784" s="8"/>
      <c r="M784" s="8"/>
      <c r="N784" s="9"/>
      <c r="P784" s="15"/>
    </row>
    <row r="785" spans="9:16" x14ac:dyDescent="0.2">
      <c r="I785" s="7"/>
      <c r="K785" s="8"/>
      <c r="L785" s="8"/>
      <c r="M785" s="8"/>
      <c r="N785" s="9"/>
      <c r="P785" s="15"/>
    </row>
    <row r="786" spans="9:16" x14ac:dyDescent="0.2">
      <c r="I786" s="7"/>
      <c r="K786" s="8"/>
      <c r="L786" s="8"/>
      <c r="M786" s="8"/>
      <c r="N786" s="9"/>
      <c r="P786" s="15"/>
    </row>
    <row r="787" spans="9:16" x14ac:dyDescent="0.2">
      <c r="I787" s="7"/>
      <c r="K787" s="8"/>
      <c r="L787" s="8"/>
      <c r="M787" s="8"/>
      <c r="N787" s="9"/>
      <c r="P787" s="15"/>
    </row>
    <row r="788" spans="9:16" x14ac:dyDescent="0.2">
      <c r="I788" s="7"/>
      <c r="K788" s="8"/>
      <c r="L788" s="8"/>
      <c r="M788" s="8"/>
      <c r="N788" s="9"/>
      <c r="P788" s="15"/>
    </row>
    <row r="789" spans="9:16" x14ac:dyDescent="0.2">
      <c r="I789" s="7"/>
      <c r="K789" s="8"/>
      <c r="L789" s="8"/>
      <c r="M789" s="8"/>
      <c r="N789" s="9"/>
      <c r="P789" s="15"/>
    </row>
    <row r="790" spans="9:16" x14ac:dyDescent="0.2">
      <c r="I790" s="7"/>
      <c r="K790" s="8"/>
      <c r="L790" s="8"/>
      <c r="M790" s="8"/>
      <c r="N790" s="9"/>
      <c r="P790" s="15"/>
    </row>
    <row r="791" spans="9:16" x14ac:dyDescent="0.2">
      <c r="I791" s="7"/>
      <c r="K791" s="8"/>
      <c r="L791" s="8"/>
      <c r="M791" s="8"/>
      <c r="N791" s="9"/>
      <c r="P791" s="15"/>
    </row>
    <row r="792" spans="9:16" x14ac:dyDescent="0.2">
      <c r="I792" s="7"/>
      <c r="K792" s="8"/>
      <c r="L792" s="8"/>
      <c r="M792" s="8"/>
      <c r="N792" s="9"/>
      <c r="P792" s="15"/>
    </row>
    <row r="793" spans="9:16" x14ac:dyDescent="0.2">
      <c r="I793" s="7"/>
      <c r="K793" s="8"/>
      <c r="L793" s="8"/>
      <c r="M793" s="8"/>
      <c r="N793" s="9"/>
      <c r="P793" s="15"/>
    </row>
    <row r="794" spans="9:16" x14ac:dyDescent="0.2">
      <c r="I794" s="7"/>
      <c r="K794" s="8"/>
      <c r="L794" s="8"/>
      <c r="M794" s="8"/>
      <c r="N794" s="9"/>
      <c r="P794" s="15"/>
    </row>
    <row r="795" spans="9:16" x14ac:dyDescent="0.2">
      <c r="I795" s="7"/>
      <c r="K795" s="8"/>
      <c r="L795" s="8"/>
      <c r="M795" s="8"/>
      <c r="N795" s="9"/>
      <c r="P795" s="15"/>
    </row>
    <row r="796" spans="9:16" x14ac:dyDescent="0.2">
      <c r="I796" s="7"/>
      <c r="K796" s="8"/>
      <c r="L796" s="8"/>
      <c r="M796" s="8"/>
      <c r="N796" s="9"/>
      <c r="P796" s="15"/>
    </row>
    <row r="797" spans="9:16" x14ac:dyDescent="0.2">
      <c r="I797" s="7"/>
      <c r="K797" s="8"/>
      <c r="L797" s="8"/>
      <c r="M797" s="8"/>
      <c r="N797" s="9"/>
      <c r="P797" s="15"/>
    </row>
    <row r="798" spans="9:16" x14ac:dyDescent="0.2">
      <c r="I798" s="7"/>
      <c r="K798" s="8"/>
      <c r="L798" s="8"/>
      <c r="M798" s="8"/>
      <c r="N798" s="9"/>
      <c r="P798" s="15"/>
    </row>
    <row r="799" spans="9:16" x14ac:dyDescent="0.2">
      <c r="I799" s="7"/>
      <c r="K799" s="8"/>
      <c r="L799" s="8"/>
      <c r="M799" s="8"/>
      <c r="N799" s="9"/>
      <c r="P799" s="15"/>
    </row>
    <row r="800" spans="9:16" x14ac:dyDescent="0.2">
      <c r="I800" s="7"/>
      <c r="K800" s="8"/>
      <c r="L800" s="8"/>
      <c r="M800" s="8"/>
      <c r="N800" s="9"/>
      <c r="P800" s="15"/>
    </row>
    <row r="801" spans="9:16" x14ac:dyDescent="0.2">
      <c r="I801" s="7"/>
      <c r="K801" s="8"/>
      <c r="L801" s="8"/>
      <c r="M801" s="8"/>
      <c r="N801" s="9"/>
      <c r="P801" s="15"/>
    </row>
    <row r="802" spans="9:16" x14ac:dyDescent="0.2">
      <c r="I802" s="7"/>
      <c r="K802" s="8"/>
      <c r="L802" s="8"/>
      <c r="M802" s="8"/>
      <c r="N802" s="9"/>
      <c r="P802" s="15"/>
    </row>
    <row r="803" spans="9:16" x14ac:dyDescent="0.2">
      <c r="I803" s="7"/>
      <c r="K803" s="8"/>
      <c r="L803" s="8"/>
      <c r="M803" s="8"/>
      <c r="N803" s="9"/>
      <c r="P803" s="15"/>
    </row>
    <row r="804" spans="9:16" x14ac:dyDescent="0.2">
      <c r="I804" s="7"/>
      <c r="K804" s="8"/>
      <c r="L804" s="8"/>
      <c r="M804" s="8"/>
      <c r="N804" s="9"/>
      <c r="P804" s="15"/>
    </row>
    <row r="805" spans="9:16" x14ac:dyDescent="0.2">
      <c r="I805" s="7"/>
      <c r="K805" s="8"/>
      <c r="L805" s="8"/>
      <c r="M805" s="8"/>
      <c r="N805" s="9"/>
      <c r="P805" s="15"/>
    </row>
    <row r="806" spans="9:16" x14ac:dyDescent="0.2">
      <c r="I806" s="7"/>
      <c r="K806" s="8"/>
      <c r="L806" s="8"/>
      <c r="M806" s="8"/>
      <c r="N806" s="9"/>
      <c r="P806" s="15"/>
    </row>
    <row r="807" spans="9:16" x14ac:dyDescent="0.2">
      <c r="I807" s="7"/>
      <c r="K807" s="8"/>
      <c r="L807" s="8"/>
      <c r="M807" s="8"/>
      <c r="N807" s="9"/>
      <c r="P807" s="15"/>
    </row>
    <row r="808" spans="9:16" x14ac:dyDescent="0.2">
      <c r="I808" s="7"/>
      <c r="K808" s="8"/>
      <c r="L808" s="8"/>
      <c r="M808" s="8"/>
      <c r="N808" s="9"/>
      <c r="P808" s="15"/>
    </row>
    <row r="809" spans="9:16" x14ac:dyDescent="0.2">
      <c r="I809" s="7"/>
      <c r="K809" s="8"/>
      <c r="L809" s="8"/>
      <c r="M809" s="8"/>
      <c r="N809" s="9"/>
      <c r="P809" s="15"/>
    </row>
    <row r="810" spans="9:16" x14ac:dyDescent="0.2">
      <c r="I810" s="7"/>
      <c r="K810" s="8"/>
      <c r="L810" s="8"/>
      <c r="M810" s="8"/>
      <c r="N810" s="9"/>
      <c r="P810" s="15"/>
    </row>
    <row r="811" spans="9:16" x14ac:dyDescent="0.2">
      <c r="I811" s="7"/>
      <c r="K811" s="8"/>
      <c r="L811" s="8"/>
      <c r="M811" s="8"/>
      <c r="N811" s="9"/>
      <c r="P811" s="15"/>
    </row>
    <row r="812" spans="9:16" x14ac:dyDescent="0.2">
      <c r="I812" s="7"/>
      <c r="K812" s="8"/>
      <c r="L812" s="8"/>
      <c r="M812" s="8"/>
      <c r="N812" s="9"/>
      <c r="P812" s="15"/>
    </row>
    <row r="813" spans="9:16" x14ac:dyDescent="0.2">
      <c r="I813" s="7"/>
      <c r="K813" s="8"/>
      <c r="L813" s="8"/>
      <c r="M813" s="8"/>
      <c r="N813" s="9"/>
      <c r="P813" s="15"/>
    </row>
    <row r="814" spans="9:16" x14ac:dyDescent="0.2">
      <c r="I814" s="7"/>
      <c r="K814" s="8"/>
      <c r="L814" s="8"/>
      <c r="M814" s="8"/>
      <c r="N814" s="9"/>
      <c r="P814" s="15"/>
    </row>
    <row r="815" spans="9:16" x14ac:dyDescent="0.2">
      <c r="I815" s="7"/>
      <c r="K815" s="8"/>
      <c r="L815" s="8"/>
      <c r="M815" s="8"/>
      <c r="N815" s="9"/>
      <c r="P815" s="15"/>
    </row>
    <row r="816" spans="9:16" x14ac:dyDescent="0.2">
      <c r="I816" s="7"/>
      <c r="K816" s="8"/>
      <c r="L816" s="8"/>
      <c r="M816" s="8"/>
      <c r="N816" s="9"/>
      <c r="P816" s="15"/>
    </row>
    <row r="817" spans="9:16" x14ac:dyDescent="0.2">
      <c r="I817" s="7"/>
      <c r="K817" s="8"/>
      <c r="L817" s="8"/>
      <c r="M817" s="8"/>
      <c r="N817" s="9"/>
      <c r="P817" s="15"/>
    </row>
    <row r="818" spans="9:16" x14ac:dyDescent="0.2">
      <c r="I818" s="7"/>
      <c r="K818" s="8"/>
      <c r="L818" s="8"/>
      <c r="M818" s="8"/>
      <c r="N818" s="9"/>
      <c r="P818" s="15"/>
    </row>
    <row r="819" spans="9:16" x14ac:dyDescent="0.2">
      <c r="I819" s="7"/>
      <c r="K819" s="8"/>
      <c r="L819" s="8"/>
      <c r="M819" s="8"/>
      <c r="N819" s="9"/>
      <c r="P819" s="15"/>
    </row>
    <row r="820" spans="9:16" x14ac:dyDescent="0.2">
      <c r="I820" s="7"/>
      <c r="K820" s="8"/>
      <c r="L820" s="8"/>
      <c r="M820" s="8"/>
      <c r="N820" s="9"/>
      <c r="P820" s="15"/>
    </row>
    <row r="821" spans="9:16" x14ac:dyDescent="0.2">
      <c r="I821" s="7"/>
      <c r="K821" s="8"/>
      <c r="L821" s="8"/>
      <c r="M821" s="8"/>
      <c r="N821" s="9"/>
      <c r="P821" s="15"/>
    </row>
    <row r="822" spans="9:16" x14ac:dyDescent="0.2">
      <c r="I822" s="7"/>
      <c r="K822" s="8"/>
      <c r="L822" s="8"/>
      <c r="M822" s="8"/>
      <c r="N822" s="9"/>
      <c r="P822" s="15"/>
    </row>
    <row r="823" spans="9:16" x14ac:dyDescent="0.2">
      <c r="I823" s="7"/>
      <c r="K823" s="8"/>
      <c r="L823" s="8"/>
      <c r="M823" s="8"/>
      <c r="N823" s="9"/>
      <c r="P823" s="15"/>
    </row>
    <row r="824" spans="9:16" x14ac:dyDescent="0.2">
      <c r="I824" s="7"/>
      <c r="K824" s="8"/>
      <c r="L824" s="8"/>
      <c r="M824" s="8"/>
      <c r="N824" s="9"/>
      <c r="P824" s="15"/>
    </row>
    <row r="825" spans="9:16" x14ac:dyDescent="0.2">
      <c r="I825" s="7"/>
      <c r="K825" s="8"/>
      <c r="L825" s="8"/>
      <c r="M825" s="8"/>
      <c r="N825" s="9"/>
      <c r="P825" s="15"/>
    </row>
    <row r="826" spans="9:16" x14ac:dyDescent="0.2">
      <c r="I826" s="7"/>
      <c r="K826" s="8"/>
      <c r="L826" s="8"/>
      <c r="M826" s="8"/>
      <c r="N826" s="9"/>
      <c r="P826" s="15"/>
    </row>
    <row r="827" spans="9:16" x14ac:dyDescent="0.2">
      <c r="I827" s="7"/>
      <c r="K827" s="8"/>
      <c r="L827" s="8"/>
      <c r="M827" s="8"/>
      <c r="N827" s="9"/>
      <c r="P827" s="15"/>
    </row>
    <row r="828" spans="9:16" x14ac:dyDescent="0.2">
      <c r="I828" s="7"/>
      <c r="K828" s="8"/>
      <c r="L828" s="8"/>
      <c r="M828" s="8"/>
      <c r="N828" s="9"/>
      <c r="P828" s="15"/>
    </row>
    <row r="829" spans="9:16" x14ac:dyDescent="0.2">
      <c r="I829" s="7"/>
      <c r="K829" s="8"/>
      <c r="L829" s="8"/>
      <c r="M829" s="8"/>
      <c r="N829" s="9"/>
      <c r="P829" s="15"/>
    </row>
    <row r="830" spans="9:16" x14ac:dyDescent="0.2">
      <c r="I830" s="7"/>
      <c r="K830" s="8"/>
      <c r="L830" s="8"/>
      <c r="M830" s="8"/>
      <c r="N830" s="9"/>
      <c r="P830" s="15"/>
    </row>
    <row r="831" spans="9:16" x14ac:dyDescent="0.2">
      <c r="I831" s="7"/>
      <c r="K831" s="8"/>
      <c r="L831" s="8"/>
      <c r="M831" s="8"/>
      <c r="N831" s="9"/>
      <c r="P831" s="15"/>
    </row>
    <row r="832" spans="9:16" x14ac:dyDescent="0.2">
      <c r="I832" s="7"/>
      <c r="K832" s="8"/>
      <c r="L832" s="8"/>
      <c r="M832" s="8"/>
      <c r="N832" s="9"/>
      <c r="P832" s="15"/>
    </row>
    <row r="833" spans="9:16" x14ac:dyDescent="0.2">
      <c r="I833" s="7"/>
      <c r="K833" s="8"/>
      <c r="L833" s="8"/>
      <c r="M833" s="8"/>
      <c r="N833" s="9"/>
      <c r="P833" s="15"/>
    </row>
    <row r="834" spans="9:16" x14ac:dyDescent="0.2">
      <c r="I834" s="7"/>
      <c r="K834" s="8"/>
      <c r="L834" s="8"/>
      <c r="M834" s="8"/>
      <c r="N834" s="9"/>
      <c r="P834" s="15"/>
    </row>
    <row r="835" spans="9:16" x14ac:dyDescent="0.2">
      <c r="I835" s="7"/>
      <c r="K835" s="8"/>
      <c r="L835" s="8"/>
      <c r="M835" s="8"/>
      <c r="N835" s="9"/>
      <c r="P835" s="15"/>
    </row>
    <row r="836" spans="9:16" x14ac:dyDescent="0.2">
      <c r="I836" s="7"/>
      <c r="K836" s="8"/>
      <c r="L836" s="8"/>
      <c r="M836" s="8"/>
      <c r="N836" s="9"/>
      <c r="P836" s="15"/>
    </row>
    <row r="837" spans="9:16" x14ac:dyDescent="0.2">
      <c r="I837" s="7"/>
      <c r="K837" s="8"/>
      <c r="L837" s="8"/>
      <c r="M837" s="8"/>
      <c r="N837" s="9"/>
      <c r="P837" s="15"/>
    </row>
    <row r="838" spans="9:16" x14ac:dyDescent="0.2">
      <c r="I838" s="7"/>
      <c r="K838" s="8"/>
      <c r="L838" s="8"/>
      <c r="M838" s="8"/>
      <c r="N838" s="9"/>
      <c r="P838" s="15"/>
    </row>
    <row r="839" spans="9:16" x14ac:dyDescent="0.2">
      <c r="I839" s="7"/>
      <c r="K839" s="8"/>
      <c r="L839" s="8"/>
      <c r="M839" s="8"/>
      <c r="N839" s="9"/>
      <c r="P839" s="15"/>
    </row>
    <row r="840" spans="9:16" x14ac:dyDescent="0.2">
      <c r="I840" s="7"/>
      <c r="K840" s="8"/>
      <c r="L840" s="8"/>
      <c r="M840" s="8"/>
      <c r="N840" s="9"/>
      <c r="P840" s="15"/>
    </row>
    <row r="841" spans="9:16" x14ac:dyDescent="0.2">
      <c r="I841" s="7"/>
      <c r="K841" s="8"/>
      <c r="L841" s="8"/>
      <c r="M841" s="8"/>
      <c r="N841" s="9"/>
      <c r="P841" s="15"/>
    </row>
    <row r="842" spans="9:16" x14ac:dyDescent="0.2">
      <c r="I842" s="7"/>
      <c r="K842" s="8"/>
      <c r="L842" s="8"/>
      <c r="M842" s="8"/>
      <c r="N842" s="9"/>
      <c r="P842" s="15"/>
    </row>
    <row r="843" spans="9:16" x14ac:dyDescent="0.2">
      <c r="I843" s="7"/>
      <c r="K843" s="8"/>
      <c r="L843" s="8"/>
      <c r="M843" s="8"/>
      <c r="N843" s="9"/>
      <c r="P843" s="15"/>
    </row>
    <row r="844" spans="9:16" x14ac:dyDescent="0.2">
      <c r="I844" s="7"/>
      <c r="K844" s="8"/>
      <c r="L844" s="8"/>
      <c r="M844" s="8"/>
      <c r="N844" s="9"/>
      <c r="P844" s="15"/>
    </row>
    <row r="845" spans="9:16" x14ac:dyDescent="0.2">
      <c r="I845" s="7"/>
      <c r="K845" s="8"/>
      <c r="L845" s="8"/>
      <c r="M845" s="8"/>
      <c r="N845" s="9"/>
      <c r="P845" s="15"/>
    </row>
    <row r="846" spans="9:16" x14ac:dyDescent="0.2">
      <c r="I846" s="7"/>
      <c r="K846" s="8"/>
      <c r="L846" s="8"/>
      <c r="M846" s="8"/>
      <c r="N846" s="9"/>
      <c r="P846" s="15"/>
    </row>
    <row r="847" spans="9:16" x14ac:dyDescent="0.2">
      <c r="I847" s="7"/>
      <c r="K847" s="8"/>
      <c r="L847" s="8"/>
      <c r="M847" s="8"/>
      <c r="N847" s="9"/>
      <c r="P847" s="15"/>
    </row>
    <row r="848" spans="9:16" x14ac:dyDescent="0.2">
      <c r="I848" s="7"/>
      <c r="K848" s="8"/>
      <c r="L848" s="8"/>
      <c r="M848" s="8"/>
      <c r="N848" s="9"/>
      <c r="P848" s="15"/>
    </row>
    <row r="849" spans="9:16" x14ac:dyDescent="0.2">
      <c r="I849" s="7"/>
      <c r="K849" s="8"/>
      <c r="L849" s="8"/>
      <c r="M849" s="8"/>
      <c r="N849" s="9"/>
      <c r="P849" s="15"/>
    </row>
    <row r="850" spans="9:16" x14ac:dyDescent="0.2">
      <c r="I850" s="7"/>
      <c r="K850" s="8"/>
      <c r="L850" s="8"/>
      <c r="M850" s="8"/>
      <c r="N850" s="9"/>
      <c r="P850" s="15"/>
    </row>
    <row r="851" spans="9:16" x14ac:dyDescent="0.2">
      <c r="I851" s="7"/>
      <c r="K851" s="8"/>
      <c r="L851" s="8"/>
      <c r="M851" s="8"/>
      <c r="N851" s="9"/>
      <c r="P851" s="15"/>
    </row>
    <row r="852" spans="9:16" x14ac:dyDescent="0.2">
      <c r="I852" s="7"/>
      <c r="K852" s="8"/>
      <c r="L852" s="8"/>
      <c r="M852" s="8"/>
      <c r="N852" s="9"/>
      <c r="P852" s="15"/>
    </row>
    <row r="853" spans="9:16" x14ac:dyDescent="0.2">
      <c r="I853" s="7"/>
      <c r="K853" s="8"/>
      <c r="L853" s="8"/>
      <c r="M853" s="8"/>
      <c r="N853" s="9"/>
      <c r="P853" s="15"/>
    </row>
    <row r="854" spans="9:16" x14ac:dyDescent="0.2">
      <c r="I854" s="7"/>
      <c r="K854" s="8"/>
      <c r="L854" s="8"/>
      <c r="M854" s="8"/>
      <c r="N854" s="9"/>
      <c r="P854" s="15"/>
    </row>
    <row r="855" spans="9:16" x14ac:dyDescent="0.2">
      <c r="I855" s="7"/>
      <c r="K855" s="8"/>
      <c r="L855" s="8"/>
      <c r="M855" s="8"/>
      <c r="N855" s="9"/>
      <c r="P855" s="15"/>
    </row>
    <row r="856" spans="9:16" x14ac:dyDescent="0.2">
      <c r="I856" s="7"/>
      <c r="K856" s="8"/>
      <c r="L856" s="8"/>
      <c r="M856" s="8"/>
      <c r="N856" s="9"/>
      <c r="P856" s="15"/>
    </row>
    <row r="857" spans="9:16" x14ac:dyDescent="0.2">
      <c r="I857" s="7"/>
      <c r="K857" s="8"/>
      <c r="L857" s="8"/>
      <c r="M857" s="8"/>
      <c r="N857" s="9"/>
      <c r="P857" s="15"/>
    </row>
    <row r="858" spans="9:16" x14ac:dyDescent="0.2">
      <c r="I858" s="7"/>
      <c r="K858" s="8"/>
      <c r="L858" s="8"/>
      <c r="M858" s="8"/>
      <c r="N858" s="9"/>
      <c r="P858" s="15"/>
    </row>
    <row r="859" spans="9:16" x14ac:dyDescent="0.2">
      <c r="I859" s="7"/>
      <c r="K859" s="8"/>
      <c r="L859" s="8"/>
      <c r="M859" s="8"/>
      <c r="N859" s="9"/>
      <c r="P859" s="15"/>
    </row>
    <row r="860" spans="9:16" x14ac:dyDescent="0.2">
      <c r="I860" s="7"/>
      <c r="K860" s="8"/>
      <c r="L860" s="8"/>
      <c r="M860" s="8"/>
      <c r="N860" s="9"/>
      <c r="P860" s="15"/>
    </row>
    <row r="861" spans="9:16" x14ac:dyDescent="0.2">
      <c r="I861" s="7"/>
      <c r="K861" s="8"/>
      <c r="L861" s="8"/>
      <c r="M861" s="8"/>
      <c r="N861" s="9"/>
      <c r="P861" s="15"/>
    </row>
    <row r="862" spans="9:16" x14ac:dyDescent="0.2">
      <c r="I862" s="7"/>
      <c r="K862" s="8"/>
      <c r="L862" s="8"/>
      <c r="M862" s="8"/>
      <c r="N862" s="9"/>
      <c r="P862" s="15"/>
    </row>
    <row r="863" spans="9:16" x14ac:dyDescent="0.2">
      <c r="I863" s="7"/>
      <c r="K863" s="8"/>
      <c r="L863" s="8"/>
      <c r="M863" s="8"/>
      <c r="N863" s="9"/>
      <c r="P863" s="15"/>
    </row>
    <row r="864" spans="9:16" x14ac:dyDescent="0.2">
      <c r="I864" s="7"/>
      <c r="K864" s="8"/>
      <c r="L864" s="8"/>
      <c r="M864" s="8"/>
      <c r="N864" s="9"/>
      <c r="P864" s="15"/>
    </row>
    <row r="865" spans="9:16" x14ac:dyDescent="0.2">
      <c r="I865" s="7"/>
      <c r="K865" s="8"/>
      <c r="L865" s="8"/>
      <c r="M865" s="8"/>
      <c r="N865" s="9"/>
      <c r="P865" s="15"/>
    </row>
    <row r="866" spans="9:16" x14ac:dyDescent="0.2">
      <c r="I866" s="7"/>
      <c r="K866" s="8"/>
      <c r="L866" s="8"/>
      <c r="M866" s="8"/>
      <c r="N866" s="9"/>
      <c r="P866" s="15"/>
    </row>
    <row r="867" spans="9:16" x14ac:dyDescent="0.2">
      <c r="I867" s="7"/>
      <c r="K867" s="8"/>
      <c r="L867" s="8"/>
      <c r="M867" s="8"/>
      <c r="N867" s="9"/>
      <c r="P867" s="15"/>
    </row>
    <row r="868" spans="9:16" x14ac:dyDescent="0.2">
      <c r="I868" s="7"/>
      <c r="K868" s="8"/>
      <c r="L868" s="8"/>
      <c r="M868" s="8"/>
      <c r="N868" s="9"/>
      <c r="P868" s="15"/>
    </row>
    <row r="869" spans="9:16" x14ac:dyDescent="0.2">
      <c r="I869" s="7"/>
      <c r="K869" s="8"/>
      <c r="L869" s="8"/>
      <c r="M869" s="8"/>
      <c r="N869" s="9"/>
      <c r="P869" s="15"/>
    </row>
    <row r="870" spans="9:16" x14ac:dyDescent="0.2">
      <c r="I870" s="7"/>
      <c r="K870" s="8"/>
      <c r="L870" s="8"/>
      <c r="M870" s="8"/>
      <c r="N870" s="9"/>
      <c r="P870" s="15"/>
    </row>
    <row r="871" spans="9:16" x14ac:dyDescent="0.2">
      <c r="I871" s="7"/>
      <c r="K871" s="8"/>
      <c r="L871" s="8"/>
      <c r="M871" s="8"/>
      <c r="N871" s="9"/>
      <c r="P871" s="15"/>
    </row>
    <row r="872" spans="9:16" x14ac:dyDescent="0.2">
      <c r="I872" s="7"/>
      <c r="K872" s="8"/>
      <c r="L872" s="8"/>
      <c r="M872" s="8"/>
      <c r="N872" s="9"/>
      <c r="P872" s="15"/>
    </row>
    <row r="873" spans="9:16" x14ac:dyDescent="0.2">
      <c r="I873" s="7"/>
      <c r="K873" s="8"/>
      <c r="L873" s="8"/>
      <c r="M873" s="8"/>
      <c r="N873" s="9"/>
      <c r="P873" s="15"/>
    </row>
    <row r="874" spans="9:16" x14ac:dyDescent="0.2">
      <c r="I874" s="7"/>
      <c r="K874" s="8"/>
      <c r="L874" s="8"/>
      <c r="M874" s="8"/>
      <c r="N874" s="9"/>
      <c r="P874" s="15"/>
    </row>
    <row r="875" spans="9:16" x14ac:dyDescent="0.2">
      <c r="I875" s="7"/>
      <c r="K875" s="8"/>
      <c r="L875" s="8"/>
      <c r="M875" s="8"/>
      <c r="N875" s="9"/>
      <c r="P875" s="15"/>
    </row>
    <row r="876" spans="9:16" x14ac:dyDescent="0.2">
      <c r="I876" s="7"/>
      <c r="K876" s="8"/>
      <c r="L876" s="8"/>
      <c r="M876" s="8"/>
      <c r="N876" s="9"/>
      <c r="P876" s="15"/>
    </row>
    <row r="877" spans="9:16" x14ac:dyDescent="0.2">
      <c r="I877" s="7"/>
      <c r="K877" s="8"/>
      <c r="L877" s="8"/>
      <c r="M877" s="8"/>
      <c r="N877" s="9"/>
      <c r="P877" s="15"/>
    </row>
    <row r="878" spans="9:16" x14ac:dyDescent="0.2">
      <c r="I878" s="7"/>
      <c r="K878" s="8"/>
      <c r="L878" s="8"/>
      <c r="M878" s="8"/>
      <c r="N878" s="9"/>
      <c r="P878" s="15"/>
    </row>
    <row r="879" spans="9:16" x14ac:dyDescent="0.2">
      <c r="I879" s="7"/>
      <c r="K879" s="8"/>
      <c r="L879" s="8"/>
      <c r="M879" s="8"/>
      <c r="N879" s="9"/>
      <c r="P879" s="15"/>
    </row>
    <row r="880" spans="9:16" x14ac:dyDescent="0.2">
      <c r="I880" s="7"/>
      <c r="K880" s="8"/>
      <c r="L880" s="8"/>
      <c r="M880" s="8"/>
      <c r="N880" s="9"/>
      <c r="P880" s="15"/>
    </row>
    <row r="881" spans="9:16" x14ac:dyDescent="0.2">
      <c r="I881" s="7"/>
      <c r="K881" s="8"/>
      <c r="L881" s="8"/>
      <c r="M881" s="8"/>
      <c r="N881" s="9"/>
      <c r="P881" s="15"/>
    </row>
    <row r="882" spans="9:16" x14ac:dyDescent="0.2">
      <c r="I882" s="7"/>
      <c r="K882" s="8"/>
      <c r="L882" s="8"/>
      <c r="M882" s="8"/>
      <c r="N882" s="9"/>
      <c r="P882" s="15"/>
    </row>
    <row r="883" spans="9:16" x14ac:dyDescent="0.2">
      <c r="I883" s="7"/>
      <c r="K883" s="8"/>
      <c r="L883" s="8"/>
      <c r="M883" s="8"/>
      <c r="N883" s="9"/>
      <c r="P883" s="15"/>
    </row>
    <row r="884" spans="9:16" x14ac:dyDescent="0.2">
      <c r="I884" s="7"/>
      <c r="K884" s="8"/>
      <c r="L884" s="8"/>
      <c r="M884" s="8"/>
      <c r="N884" s="9"/>
      <c r="P884" s="15"/>
    </row>
    <row r="885" spans="9:16" x14ac:dyDescent="0.2">
      <c r="I885" s="7"/>
      <c r="K885" s="8"/>
      <c r="L885" s="8"/>
      <c r="M885" s="8"/>
      <c r="N885" s="9"/>
      <c r="P885" s="15"/>
    </row>
    <row r="886" spans="9:16" x14ac:dyDescent="0.2">
      <c r="I886" s="7"/>
      <c r="K886" s="8"/>
      <c r="L886" s="8"/>
      <c r="M886" s="8"/>
      <c r="N886" s="9"/>
      <c r="P886" s="15"/>
    </row>
    <row r="887" spans="9:16" x14ac:dyDescent="0.2">
      <c r="I887" s="7"/>
      <c r="K887" s="8"/>
      <c r="L887" s="8"/>
      <c r="M887" s="8"/>
      <c r="N887" s="9"/>
      <c r="P887" s="15"/>
    </row>
    <row r="888" spans="9:16" x14ac:dyDescent="0.2">
      <c r="I888" s="7"/>
      <c r="K888" s="8"/>
      <c r="L888" s="8"/>
      <c r="M888" s="8"/>
      <c r="N888" s="9"/>
      <c r="P888" s="15"/>
    </row>
    <row r="889" spans="9:16" x14ac:dyDescent="0.2">
      <c r="I889" s="7"/>
      <c r="K889" s="8"/>
      <c r="L889" s="8"/>
      <c r="M889" s="8"/>
      <c r="N889" s="9"/>
      <c r="P889" s="15"/>
    </row>
    <row r="890" spans="9:16" x14ac:dyDescent="0.2">
      <c r="I890" s="7"/>
      <c r="K890" s="8"/>
      <c r="L890" s="8"/>
      <c r="M890" s="8"/>
      <c r="N890" s="9"/>
      <c r="P890" s="15"/>
    </row>
    <row r="891" spans="9:16" x14ac:dyDescent="0.2">
      <c r="I891" s="7"/>
      <c r="K891" s="8"/>
      <c r="L891" s="8"/>
      <c r="M891" s="8"/>
      <c r="N891" s="9"/>
      <c r="P891" s="15"/>
    </row>
    <row r="892" spans="9:16" x14ac:dyDescent="0.2">
      <c r="I892" s="7"/>
      <c r="K892" s="8"/>
      <c r="L892" s="8"/>
      <c r="M892" s="8"/>
      <c r="N892" s="9"/>
      <c r="P892" s="15"/>
    </row>
    <row r="893" spans="9:16" x14ac:dyDescent="0.2">
      <c r="I893" s="7"/>
      <c r="K893" s="8"/>
      <c r="L893" s="8"/>
      <c r="M893" s="8"/>
      <c r="N893" s="9"/>
      <c r="P893" s="15"/>
    </row>
    <row r="894" spans="9:16" x14ac:dyDescent="0.2">
      <c r="I894" s="7"/>
      <c r="K894" s="8"/>
      <c r="L894" s="8"/>
      <c r="M894" s="8"/>
      <c r="N894" s="9"/>
      <c r="P894" s="15"/>
    </row>
    <row r="895" spans="9:16" x14ac:dyDescent="0.2">
      <c r="I895" s="7"/>
      <c r="K895" s="8"/>
      <c r="L895" s="8"/>
      <c r="M895" s="8"/>
      <c r="N895" s="9"/>
      <c r="P895" s="15"/>
    </row>
    <row r="896" spans="9:16" x14ac:dyDescent="0.2">
      <c r="I896" s="7"/>
      <c r="K896" s="8"/>
      <c r="L896" s="8"/>
      <c r="M896" s="8"/>
      <c r="N896" s="9"/>
      <c r="P896" s="15"/>
    </row>
    <row r="897" spans="9:16" x14ac:dyDescent="0.2">
      <c r="I897" s="7"/>
      <c r="K897" s="8"/>
      <c r="L897" s="8"/>
      <c r="M897" s="8"/>
      <c r="N897" s="9"/>
      <c r="P897" s="15"/>
    </row>
    <row r="898" spans="9:16" x14ac:dyDescent="0.2">
      <c r="I898" s="7"/>
      <c r="K898" s="8"/>
      <c r="L898" s="8"/>
      <c r="M898" s="8"/>
      <c r="N898" s="9"/>
      <c r="P898" s="15"/>
    </row>
    <row r="899" spans="9:16" x14ac:dyDescent="0.2">
      <c r="I899" s="7"/>
      <c r="K899" s="8"/>
      <c r="L899" s="8"/>
      <c r="M899" s="8"/>
      <c r="N899" s="9"/>
      <c r="P899" s="15"/>
    </row>
    <row r="900" spans="9:16" x14ac:dyDescent="0.2">
      <c r="I900" s="7"/>
      <c r="K900" s="8"/>
      <c r="L900" s="8"/>
      <c r="M900" s="8"/>
      <c r="N900" s="9"/>
      <c r="P900" s="15"/>
    </row>
    <row r="901" spans="9:16" x14ac:dyDescent="0.2">
      <c r="I901" s="7"/>
      <c r="K901" s="8"/>
      <c r="L901" s="8"/>
      <c r="M901" s="8"/>
      <c r="N901" s="9"/>
      <c r="P901" s="15"/>
    </row>
    <row r="902" spans="9:16" x14ac:dyDescent="0.2">
      <c r="I902" s="7"/>
      <c r="K902" s="8"/>
      <c r="L902" s="8"/>
      <c r="M902" s="8"/>
      <c r="N902" s="9"/>
      <c r="P902" s="15"/>
    </row>
    <row r="903" spans="9:16" x14ac:dyDescent="0.2">
      <c r="I903" s="7"/>
      <c r="K903" s="8"/>
      <c r="L903" s="8"/>
      <c r="M903" s="8"/>
      <c r="N903" s="9"/>
      <c r="P903" s="15"/>
    </row>
    <row r="904" spans="9:16" x14ac:dyDescent="0.2">
      <c r="I904" s="7"/>
      <c r="K904" s="8"/>
      <c r="L904" s="8"/>
      <c r="M904" s="8"/>
      <c r="N904" s="9"/>
      <c r="P904" s="15"/>
    </row>
    <row r="905" spans="9:16" x14ac:dyDescent="0.2">
      <c r="I905" s="7"/>
      <c r="K905" s="8"/>
      <c r="L905" s="8"/>
      <c r="M905" s="8"/>
      <c r="N905" s="9"/>
      <c r="P905" s="15"/>
    </row>
    <row r="906" spans="9:16" x14ac:dyDescent="0.2">
      <c r="I906" s="7"/>
      <c r="K906" s="8"/>
      <c r="L906" s="8"/>
      <c r="M906" s="8"/>
      <c r="N906" s="9"/>
      <c r="P906" s="15"/>
    </row>
    <row r="907" spans="9:16" x14ac:dyDescent="0.2">
      <c r="I907" s="7"/>
      <c r="K907" s="8"/>
      <c r="L907" s="8"/>
      <c r="M907" s="8"/>
      <c r="N907" s="9"/>
      <c r="P907" s="15"/>
    </row>
    <row r="908" spans="9:16" x14ac:dyDescent="0.2">
      <c r="I908" s="7"/>
      <c r="K908" s="8"/>
      <c r="L908" s="8"/>
      <c r="M908" s="8"/>
      <c r="N908" s="9"/>
      <c r="P908" s="15"/>
    </row>
    <row r="909" spans="9:16" x14ac:dyDescent="0.2">
      <c r="I909" s="7"/>
      <c r="K909" s="8"/>
      <c r="L909" s="8"/>
      <c r="M909" s="8"/>
      <c r="N909" s="9"/>
      <c r="P909" s="15"/>
    </row>
    <row r="910" spans="9:16" x14ac:dyDescent="0.2">
      <c r="I910" s="7"/>
      <c r="K910" s="8"/>
      <c r="L910" s="8"/>
      <c r="M910" s="8"/>
      <c r="N910" s="9"/>
      <c r="P910" s="15"/>
    </row>
    <row r="911" spans="9:16" x14ac:dyDescent="0.2">
      <c r="I911" s="7"/>
      <c r="K911" s="8"/>
      <c r="L911" s="8"/>
      <c r="M911" s="8"/>
      <c r="N911" s="9"/>
      <c r="P911" s="15"/>
    </row>
    <row r="912" spans="9:16" x14ac:dyDescent="0.2">
      <c r="I912" s="7"/>
      <c r="K912" s="8"/>
      <c r="L912" s="8"/>
      <c r="M912" s="8"/>
      <c r="N912" s="9"/>
      <c r="P912" s="15"/>
    </row>
    <row r="913" spans="9:16" x14ac:dyDescent="0.2">
      <c r="I913" s="7"/>
      <c r="K913" s="8"/>
      <c r="L913" s="8"/>
      <c r="M913" s="8"/>
      <c r="N913" s="9"/>
      <c r="P913" s="15"/>
    </row>
    <row r="914" spans="9:16" x14ac:dyDescent="0.2">
      <c r="I914" s="7"/>
      <c r="K914" s="8"/>
      <c r="L914" s="8"/>
      <c r="M914" s="8"/>
      <c r="N914" s="9"/>
      <c r="P914" s="15"/>
    </row>
    <row r="915" spans="9:16" x14ac:dyDescent="0.2">
      <c r="I915" s="7"/>
      <c r="K915" s="8"/>
      <c r="L915" s="8"/>
      <c r="M915" s="8"/>
      <c r="N915" s="9"/>
      <c r="P915" s="15"/>
    </row>
    <row r="916" spans="9:16" x14ac:dyDescent="0.2">
      <c r="I916" s="7"/>
      <c r="K916" s="8"/>
      <c r="L916" s="8"/>
      <c r="M916" s="8"/>
      <c r="N916" s="9"/>
      <c r="P916" s="15"/>
    </row>
    <row r="917" spans="9:16" x14ac:dyDescent="0.2">
      <c r="I917" s="7"/>
      <c r="K917" s="8"/>
      <c r="L917" s="8"/>
      <c r="M917" s="8"/>
      <c r="N917" s="9"/>
      <c r="P917" s="15"/>
    </row>
    <row r="918" spans="9:16" x14ac:dyDescent="0.2">
      <c r="I918" s="7"/>
      <c r="K918" s="8"/>
      <c r="L918" s="8"/>
      <c r="M918" s="8"/>
      <c r="N918" s="9"/>
      <c r="P918" s="15"/>
    </row>
    <row r="919" spans="9:16" x14ac:dyDescent="0.2">
      <c r="I919" s="7"/>
      <c r="K919" s="8"/>
      <c r="L919" s="8"/>
      <c r="M919" s="8"/>
      <c r="N919" s="9"/>
      <c r="P919" s="15"/>
    </row>
    <row r="920" spans="9:16" x14ac:dyDescent="0.2">
      <c r="I920" s="7"/>
      <c r="K920" s="8"/>
      <c r="L920" s="8"/>
      <c r="M920" s="8"/>
      <c r="N920" s="9"/>
      <c r="P920" s="15"/>
    </row>
    <row r="921" spans="9:16" x14ac:dyDescent="0.2">
      <c r="I921" s="7"/>
      <c r="K921" s="8"/>
      <c r="L921" s="8"/>
      <c r="M921" s="8"/>
      <c r="N921" s="9"/>
      <c r="P921" s="15"/>
    </row>
    <row r="922" spans="9:16" x14ac:dyDescent="0.2">
      <c r="I922" s="7"/>
      <c r="K922" s="8"/>
      <c r="L922" s="8"/>
      <c r="M922" s="8"/>
      <c r="N922" s="9"/>
      <c r="P922" s="15"/>
    </row>
    <row r="923" spans="9:16" x14ac:dyDescent="0.2">
      <c r="I923" s="7"/>
      <c r="K923" s="8"/>
      <c r="L923" s="8"/>
      <c r="M923" s="8"/>
      <c r="N923" s="9"/>
      <c r="P923" s="15"/>
    </row>
    <row r="924" spans="9:16" x14ac:dyDescent="0.2">
      <c r="I924" s="7"/>
      <c r="K924" s="8"/>
      <c r="L924" s="8"/>
      <c r="M924" s="8"/>
      <c r="N924" s="9"/>
      <c r="P924" s="15"/>
    </row>
    <row r="925" spans="9:16" x14ac:dyDescent="0.2">
      <c r="I925" s="7"/>
      <c r="K925" s="8"/>
      <c r="L925" s="8"/>
      <c r="M925" s="8"/>
      <c r="N925" s="9"/>
      <c r="P925" s="15"/>
    </row>
    <row r="926" spans="9:16" x14ac:dyDescent="0.2">
      <c r="I926" s="7"/>
      <c r="K926" s="8"/>
      <c r="L926" s="8"/>
      <c r="M926" s="8"/>
      <c r="N926" s="9"/>
      <c r="P926" s="15"/>
    </row>
    <row r="927" spans="9:16" x14ac:dyDescent="0.2">
      <c r="I927" s="7"/>
      <c r="K927" s="8"/>
      <c r="L927" s="8"/>
      <c r="M927" s="8"/>
      <c r="N927" s="9"/>
      <c r="P927" s="15"/>
    </row>
    <row r="928" spans="9:16" x14ac:dyDescent="0.2">
      <c r="I928" s="7"/>
      <c r="K928" s="8"/>
      <c r="L928" s="8"/>
      <c r="M928" s="8"/>
      <c r="N928" s="9"/>
      <c r="P928" s="15"/>
    </row>
    <row r="929" spans="9:16" x14ac:dyDescent="0.2">
      <c r="I929" s="7"/>
      <c r="K929" s="8"/>
      <c r="L929" s="8"/>
      <c r="M929" s="8"/>
      <c r="N929" s="9"/>
      <c r="P929" s="15"/>
    </row>
    <row r="930" spans="9:16" x14ac:dyDescent="0.2">
      <c r="I930" s="7"/>
      <c r="K930" s="8"/>
      <c r="L930" s="8"/>
      <c r="M930" s="8"/>
      <c r="N930" s="9"/>
      <c r="P930" s="15"/>
    </row>
    <row r="931" spans="9:16" x14ac:dyDescent="0.2">
      <c r="I931" s="7"/>
      <c r="K931" s="8"/>
      <c r="L931" s="8"/>
      <c r="M931" s="8"/>
      <c r="N931" s="9"/>
      <c r="P931" s="15"/>
    </row>
    <row r="932" spans="9:16" x14ac:dyDescent="0.2">
      <c r="I932" s="7"/>
      <c r="K932" s="8"/>
      <c r="L932" s="8"/>
      <c r="M932" s="8"/>
      <c r="N932" s="9"/>
      <c r="P932" s="15"/>
    </row>
    <row r="933" spans="9:16" x14ac:dyDescent="0.2">
      <c r="I933" s="7"/>
      <c r="K933" s="8"/>
      <c r="L933" s="8"/>
      <c r="M933" s="8"/>
      <c r="N933" s="9"/>
      <c r="P933" s="15"/>
    </row>
    <row r="934" spans="9:16" x14ac:dyDescent="0.2">
      <c r="I934" s="7"/>
      <c r="K934" s="8"/>
      <c r="L934" s="8"/>
      <c r="M934" s="8"/>
      <c r="N934" s="9"/>
      <c r="P934" s="15"/>
    </row>
    <row r="935" spans="9:16" x14ac:dyDescent="0.2">
      <c r="I935" s="7"/>
      <c r="K935" s="8"/>
      <c r="L935" s="8"/>
      <c r="M935" s="8"/>
      <c r="N935" s="9"/>
      <c r="P935" s="15"/>
    </row>
    <row r="936" spans="9:16" x14ac:dyDescent="0.2">
      <c r="I936" s="7"/>
      <c r="K936" s="8"/>
      <c r="L936" s="8"/>
      <c r="M936" s="8"/>
      <c r="N936" s="9"/>
      <c r="P936" s="15"/>
    </row>
    <row r="937" spans="9:16" x14ac:dyDescent="0.2">
      <c r="I937" s="7"/>
      <c r="K937" s="8"/>
      <c r="L937" s="8"/>
      <c r="M937" s="8"/>
      <c r="N937" s="9"/>
      <c r="P937" s="15"/>
    </row>
    <row r="938" spans="9:16" x14ac:dyDescent="0.2">
      <c r="I938" s="7"/>
      <c r="K938" s="8"/>
      <c r="L938" s="8"/>
      <c r="M938" s="8"/>
      <c r="N938" s="9"/>
      <c r="P938" s="15"/>
    </row>
    <row r="939" spans="9:16" x14ac:dyDescent="0.2">
      <c r="I939" s="7"/>
      <c r="K939" s="8"/>
      <c r="L939" s="8"/>
      <c r="M939" s="8"/>
      <c r="N939" s="9"/>
      <c r="P939" s="15"/>
    </row>
    <row r="940" spans="9:16" x14ac:dyDescent="0.2">
      <c r="I940" s="7"/>
      <c r="K940" s="8"/>
      <c r="L940" s="8"/>
      <c r="M940" s="8"/>
      <c r="N940" s="9"/>
      <c r="P940" s="15"/>
    </row>
    <row r="941" spans="9:16" x14ac:dyDescent="0.2">
      <c r="I941" s="7"/>
      <c r="K941" s="8"/>
      <c r="L941" s="8"/>
      <c r="M941" s="8"/>
      <c r="N941" s="9"/>
      <c r="P941" s="15"/>
    </row>
    <row r="942" spans="9:16" x14ac:dyDescent="0.2">
      <c r="I942" s="7"/>
      <c r="K942" s="8"/>
      <c r="L942" s="8"/>
      <c r="M942" s="8"/>
      <c r="N942" s="9"/>
      <c r="P942" s="15"/>
    </row>
    <row r="943" spans="9:16" x14ac:dyDescent="0.2">
      <c r="I943" s="7"/>
      <c r="K943" s="8"/>
      <c r="L943" s="8"/>
      <c r="M943" s="8"/>
      <c r="N943" s="9"/>
      <c r="P943" s="15"/>
    </row>
    <row r="944" spans="9:16" x14ac:dyDescent="0.2">
      <c r="I944" s="7"/>
      <c r="K944" s="8"/>
      <c r="L944" s="8"/>
      <c r="M944" s="8"/>
      <c r="N944" s="9"/>
      <c r="P944" s="15"/>
    </row>
    <row r="945" spans="9:16" x14ac:dyDescent="0.2">
      <c r="I945" s="7"/>
      <c r="K945" s="8"/>
      <c r="L945" s="8"/>
      <c r="M945" s="8"/>
      <c r="N945" s="9"/>
      <c r="P945" s="15"/>
    </row>
    <row r="946" spans="9:16" x14ac:dyDescent="0.2">
      <c r="I946" s="7"/>
      <c r="K946" s="8"/>
      <c r="L946" s="8"/>
      <c r="M946" s="8"/>
      <c r="N946" s="9"/>
      <c r="P946" s="15"/>
    </row>
    <row r="947" spans="9:16" x14ac:dyDescent="0.2">
      <c r="I947" s="7"/>
      <c r="K947" s="8"/>
      <c r="L947" s="8"/>
      <c r="M947" s="8"/>
      <c r="N947" s="9"/>
      <c r="P947" s="15"/>
    </row>
    <row r="948" spans="9:16" x14ac:dyDescent="0.2">
      <c r="I948" s="7"/>
      <c r="K948" s="8"/>
      <c r="L948" s="8"/>
      <c r="M948" s="8"/>
      <c r="N948" s="9"/>
      <c r="P948" s="15"/>
    </row>
    <row r="949" spans="9:16" x14ac:dyDescent="0.2">
      <c r="I949" s="7"/>
      <c r="K949" s="8"/>
      <c r="L949" s="8"/>
      <c r="M949" s="8"/>
      <c r="N949" s="9"/>
      <c r="P949" s="15"/>
    </row>
    <row r="950" spans="9:16" x14ac:dyDescent="0.2">
      <c r="I950" s="7"/>
      <c r="K950" s="8"/>
      <c r="L950" s="8"/>
      <c r="M950" s="8"/>
      <c r="N950" s="9"/>
      <c r="P950" s="15"/>
    </row>
    <row r="951" spans="9:16" x14ac:dyDescent="0.2">
      <c r="I951" s="7"/>
      <c r="K951" s="8"/>
      <c r="L951" s="8"/>
      <c r="M951" s="8"/>
      <c r="N951" s="9"/>
      <c r="P951" s="15"/>
    </row>
    <row r="952" spans="9:16" x14ac:dyDescent="0.2">
      <c r="I952" s="7"/>
      <c r="K952" s="8"/>
      <c r="L952" s="8"/>
      <c r="M952" s="8"/>
      <c r="N952" s="9"/>
      <c r="P952" s="15"/>
    </row>
    <row r="953" spans="9:16" x14ac:dyDescent="0.2">
      <c r="I953" s="7"/>
      <c r="K953" s="8"/>
      <c r="L953" s="8"/>
      <c r="M953" s="8"/>
      <c r="N953" s="9"/>
      <c r="P953" s="15"/>
    </row>
    <row r="954" spans="9:16" x14ac:dyDescent="0.2">
      <c r="I954" s="7"/>
      <c r="K954" s="8"/>
      <c r="L954" s="8"/>
      <c r="M954" s="8"/>
      <c r="N954" s="9"/>
      <c r="P954" s="15"/>
    </row>
    <row r="955" spans="9:16" x14ac:dyDescent="0.2">
      <c r="I955" s="7"/>
      <c r="K955" s="8"/>
      <c r="L955" s="8"/>
      <c r="M955" s="8"/>
      <c r="N955" s="9"/>
      <c r="P955" s="15"/>
    </row>
    <row r="956" spans="9:16" x14ac:dyDescent="0.2">
      <c r="I956" s="7"/>
      <c r="K956" s="8"/>
      <c r="L956" s="8"/>
      <c r="M956" s="8"/>
      <c r="N956" s="9"/>
      <c r="P956" s="15"/>
    </row>
    <row r="957" spans="9:16" x14ac:dyDescent="0.2">
      <c r="I957" s="7"/>
      <c r="K957" s="8"/>
      <c r="L957" s="8"/>
      <c r="M957" s="8"/>
      <c r="N957" s="9"/>
      <c r="P957" s="15"/>
    </row>
    <row r="958" spans="9:16" x14ac:dyDescent="0.2">
      <c r="I958" s="7"/>
      <c r="K958" s="8"/>
      <c r="L958" s="8"/>
      <c r="M958" s="8"/>
      <c r="N958" s="9"/>
      <c r="P958" s="15"/>
    </row>
    <row r="959" spans="9:16" x14ac:dyDescent="0.2">
      <c r="I959" s="7"/>
      <c r="K959" s="8"/>
      <c r="L959" s="8"/>
      <c r="M959" s="8"/>
      <c r="N959" s="9"/>
      <c r="P959" s="15"/>
    </row>
    <row r="960" spans="9:16" x14ac:dyDescent="0.2">
      <c r="I960" s="7"/>
      <c r="K960" s="8"/>
      <c r="L960" s="8"/>
      <c r="M960" s="8"/>
      <c r="N960" s="9"/>
      <c r="P960" s="15"/>
    </row>
    <row r="961" spans="9:16" x14ac:dyDescent="0.2">
      <c r="I961" s="7"/>
      <c r="K961" s="8"/>
      <c r="L961" s="8"/>
      <c r="M961" s="8"/>
      <c r="N961" s="9"/>
      <c r="P961" s="15"/>
    </row>
    <row r="962" spans="9:16" x14ac:dyDescent="0.2">
      <c r="I962" s="7"/>
      <c r="K962" s="8"/>
      <c r="L962" s="8"/>
      <c r="M962" s="8"/>
      <c r="N962" s="9"/>
      <c r="P962" s="15"/>
    </row>
    <row r="963" spans="9:16" x14ac:dyDescent="0.2">
      <c r="I963" s="7"/>
      <c r="K963" s="8"/>
      <c r="L963" s="8"/>
      <c r="M963" s="8"/>
      <c r="N963" s="9"/>
      <c r="P963" s="15"/>
    </row>
    <row r="964" spans="9:16" x14ac:dyDescent="0.2">
      <c r="I964" s="7"/>
      <c r="K964" s="8"/>
      <c r="L964" s="8"/>
      <c r="M964" s="8"/>
      <c r="N964" s="9"/>
      <c r="P964" s="15"/>
    </row>
    <row r="965" spans="9:16" x14ac:dyDescent="0.2">
      <c r="I965" s="7"/>
      <c r="K965" s="8"/>
      <c r="L965" s="8"/>
      <c r="M965" s="8"/>
      <c r="N965" s="9"/>
      <c r="P965" s="15"/>
    </row>
    <row r="966" spans="9:16" x14ac:dyDescent="0.2">
      <c r="I966" s="7"/>
      <c r="K966" s="8"/>
      <c r="L966" s="8"/>
      <c r="M966" s="8"/>
      <c r="N966" s="9"/>
      <c r="P966" s="15"/>
    </row>
    <row r="967" spans="9:16" x14ac:dyDescent="0.2">
      <c r="I967" s="7"/>
      <c r="K967" s="8"/>
      <c r="L967" s="8"/>
      <c r="M967" s="8"/>
      <c r="N967" s="9"/>
      <c r="P967" s="15"/>
    </row>
    <row r="968" spans="9:16" x14ac:dyDescent="0.2">
      <c r="I968" s="7"/>
      <c r="K968" s="8"/>
      <c r="L968" s="8"/>
      <c r="M968" s="8"/>
      <c r="N968" s="9"/>
      <c r="P968" s="15"/>
    </row>
    <row r="969" spans="9:16" x14ac:dyDescent="0.2">
      <c r="I969" s="7"/>
      <c r="K969" s="8"/>
      <c r="L969" s="8"/>
      <c r="M969" s="8"/>
      <c r="N969" s="9"/>
      <c r="P969" s="15"/>
    </row>
    <row r="970" spans="9:16" x14ac:dyDescent="0.2">
      <c r="I970" s="7"/>
      <c r="K970" s="8"/>
      <c r="L970" s="8"/>
      <c r="M970" s="8"/>
      <c r="N970" s="9"/>
      <c r="P970" s="15"/>
    </row>
    <row r="971" spans="9:16" x14ac:dyDescent="0.2">
      <c r="I971" s="7"/>
      <c r="K971" s="8"/>
      <c r="L971" s="8"/>
      <c r="M971" s="8"/>
      <c r="N971" s="9"/>
      <c r="P971" s="15"/>
    </row>
    <row r="972" spans="9:16" x14ac:dyDescent="0.2">
      <c r="I972" s="7"/>
      <c r="K972" s="8"/>
      <c r="L972" s="8"/>
      <c r="M972" s="8"/>
      <c r="N972" s="9"/>
      <c r="P972" s="15"/>
    </row>
    <row r="973" spans="9:16" x14ac:dyDescent="0.2">
      <c r="I973" s="7"/>
      <c r="K973" s="8"/>
      <c r="L973" s="8"/>
      <c r="M973" s="8"/>
      <c r="N973" s="9"/>
      <c r="P973" s="15"/>
    </row>
    <row r="974" spans="9:16" x14ac:dyDescent="0.2">
      <c r="I974" s="7"/>
      <c r="K974" s="8"/>
      <c r="L974" s="8"/>
      <c r="M974" s="8"/>
      <c r="N974" s="9"/>
      <c r="P974" s="15"/>
    </row>
    <row r="975" spans="9:16" x14ac:dyDescent="0.2">
      <c r="I975" s="7"/>
      <c r="K975" s="8"/>
      <c r="L975" s="8"/>
      <c r="M975" s="8"/>
      <c r="N975" s="9"/>
      <c r="P975" s="15"/>
    </row>
    <row r="976" spans="9:16" x14ac:dyDescent="0.2">
      <c r="I976" s="7"/>
      <c r="K976" s="8"/>
      <c r="L976" s="8"/>
      <c r="M976" s="8"/>
      <c r="N976" s="9"/>
      <c r="P976" s="15"/>
    </row>
    <row r="977" spans="9:16" x14ac:dyDescent="0.2">
      <c r="I977" s="7"/>
      <c r="K977" s="8"/>
      <c r="L977" s="8"/>
      <c r="M977" s="8"/>
      <c r="N977" s="9"/>
      <c r="P977" s="15"/>
    </row>
    <row r="978" spans="9:16" x14ac:dyDescent="0.2">
      <c r="I978" s="7"/>
      <c r="K978" s="8"/>
      <c r="L978" s="8"/>
      <c r="M978" s="8"/>
      <c r="N978" s="9"/>
      <c r="P978" s="15"/>
    </row>
    <row r="979" spans="9:16" x14ac:dyDescent="0.2">
      <c r="I979" s="7"/>
      <c r="K979" s="8"/>
      <c r="L979" s="8"/>
      <c r="M979" s="8"/>
      <c r="N979" s="9"/>
      <c r="P979" s="15"/>
    </row>
    <row r="980" spans="9:16" x14ac:dyDescent="0.2">
      <c r="I980" s="7"/>
      <c r="K980" s="8"/>
      <c r="L980" s="8"/>
      <c r="M980" s="8"/>
      <c r="N980" s="9"/>
      <c r="P980" s="15"/>
    </row>
    <row r="981" spans="9:16" x14ac:dyDescent="0.2">
      <c r="I981" s="7"/>
      <c r="K981" s="8"/>
      <c r="L981" s="8"/>
      <c r="M981" s="8"/>
      <c r="N981" s="9"/>
      <c r="P981" s="15"/>
    </row>
    <row r="982" spans="9:16" x14ac:dyDescent="0.2">
      <c r="I982" s="7"/>
      <c r="K982" s="8"/>
      <c r="L982" s="8"/>
      <c r="M982" s="8"/>
      <c r="N982" s="9"/>
      <c r="P982" s="15"/>
    </row>
    <row r="983" spans="9:16" x14ac:dyDescent="0.2">
      <c r="I983" s="7"/>
      <c r="K983" s="8"/>
      <c r="L983" s="8"/>
      <c r="M983" s="8"/>
      <c r="N983" s="9"/>
      <c r="P983" s="15"/>
    </row>
    <row r="984" spans="9:16" x14ac:dyDescent="0.2">
      <c r="I984" s="7"/>
      <c r="K984" s="8"/>
      <c r="L984" s="8"/>
      <c r="M984" s="8"/>
      <c r="N984" s="9"/>
      <c r="P984" s="15"/>
    </row>
    <row r="985" spans="9:16" x14ac:dyDescent="0.2">
      <c r="I985" s="7"/>
      <c r="K985" s="8"/>
      <c r="L985" s="8"/>
      <c r="M985" s="8"/>
      <c r="N985" s="9"/>
      <c r="P985" s="15"/>
    </row>
    <row r="986" spans="9:16" x14ac:dyDescent="0.2">
      <c r="I986" s="7"/>
      <c r="K986" s="8"/>
      <c r="L986" s="8"/>
      <c r="M986" s="8"/>
      <c r="N986" s="9"/>
      <c r="P986" s="15"/>
    </row>
    <row r="987" spans="9:16" x14ac:dyDescent="0.2">
      <c r="I987" s="7"/>
      <c r="K987" s="8"/>
      <c r="L987" s="8"/>
      <c r="M987" s="8"/>
      <c r="N987" s="9"/>
      <c r="P987" s="15"/>
    </row>
    <row r="988" spans="9:16" x14ac:dyDescent="0.2">
      <c r="I988" s="7"/>
      <c r="K988" s="8"/>
      <c r="L988" s="8"/>
      <c r="M988" s="8"/>
      <c r="N988" s="9"/>
      <c r="P988" s="15"/>
    </row>
    <row r="989" spans="9:16" x14ac:dyDescent="0.2">
      <c r="I989" s="7"/>
      <c r="K989" s="8"/>
      <c r="L989" s="8"/>
      <c r="M989" s="8"/>
      <c r="N989" s="9"/>
      <c r="P989" s="15"/>
    </row>
    <row r="990" spans="9:16" x14ac:dyDescent="0.2">
      <c r="I990" s="7"/>
      <c r="K990" s="8"/>
      <c r="L990" s="8"/>
      <c r="M990" s="8"/>
      <c r="N990" s="9"/>
      <c r="P990" s="15"/>
    </row>
    <row r="991" spans="9:16" x14ac:dyDescent="0.2">
      <c r="I991" s="7"/>
      <c r="K991" s="8"/>
      <c r="L991" s="8"/>
      <c r="M991" s="8"/>
      <c r="N991" s="9"/>
      <c r="P991" s="15"/>
    </row>
    <row r="992" spans="9:16" x14ac:dyDescent="0.2">
      <c r="I992" s="7"/>
      <c r="K992" s="8"/>
      <c r="L992" s="8"/>
      <c r="M992" s="8"/>
      <c r="N992" s="9"/>
      <c r="P992" s="15"/>
    </row>
    <row r="993" spans="9:16" x14ac:dyDescent="0.2">
      <c r="I993" s="7"/>
      <c r="K993" s="8"/>
      <c r="L993" s="8"/>
      <c r="M993" s="8"/>
      <c r="N993" s="9"/>
      <c r="P993" s="15"/>
    </row>
    <row r="994" spans="9:16" x14ac:dyDescent="0.2">
      <c r="I994" s="7"/>
      <c r="K994" s="8"/>
      <c r="L994" s="8"/>
      <c r="M994" s="8"/>
      <c r="N994" s="9"/>
      <c r="P994" s="15"/>
    </row>
    <row r="995" spans="9:16" x14ac:dyDescent="0.2">
      <c r="I995" s="7"/>
      <c r="K995" s="8"/>
      <c r="L995" s="8"/>
      <c r="M995" s="8"/>
      <c r="N995" s="9"/>
      <c r="P995" s="15"/>
    </row>
    <row r="996" spans="9:16" x14ac:dyDescent="0.2">
      <c r="I996" s="7"/>
      <c r="K996" s="8"/>
      <c r="L996" s="8"/>
      <c r="M996" s="8"/>
      <c r="N996" s="9"/>
      <c r="P996" s="15"/>
    </row>
    <row r="997" spans="9:16" x14ac:dyDescent="0.2">
      <c r="I997" s="7"/>
      <c r="K997" s="8"/>
      <c r="L997" s="8"/>
      <c r="M997" s="8"/>
      <c r="N997" s="9"/>
      <c r="P997" s="15"/>
    </row>
    <row r="998" spans="9:16" x14ac:dyDescent="0.2">
      <c r="I998" s="7"/>
      <c r="K998" s="8"/>
      <c r="L998" s="8"/>
      <c r="M998" s="8"/>
      <c r="N998" s="9"/>
      <c r="P998" s="15"/>
    </row>
    <row r="999" spans="9:16" x14ac:dyDescent="0.2">
      <c r="I999" s="7"/>
      <c r="K999" s="8"/>
      <c r="L999" s="8"/>
      <c r="M999" s="8"/>
      <c r="N999" s="9"/>
      <c r="P999" s="15"/>
    </row>
    <row r="1000" spans="9:16" x14ac:dyDescent="0.2">
      <c r="I1000" s="7"/>
      <c r="K1000" s="8"/>
      <c r="L1000" s="8"/>
      <c r="M1000" s="8"/>
      <c r="N1000" s="9"/>
      <c r="P100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Bailey Brocker</dc:creator>
  <cp:lastModifiedBy>Brooke Brocker</cp:lastModifiedBy>
  <dcterms:created xsi:type="dcterms:W3CDTF">2026-10-16T20:18:35Z</dcterms:created>
  <dcterms:modified xsi:type="dcterms:W3CDTF">2026-10-16T20:18:35Z</dcterms:modified>
</cp:coreProperties>
</file>